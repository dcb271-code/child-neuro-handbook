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b54b2933d899b33/Documents/Faculty/Child Neurology Residency Program/Schedules/2026-2027/"/>
    </mc:Choice>
  </mc:AlternateContent>
  <xr:revisionPtr revIDLastSave="45" documentId="8_{2DB98F56-69E2-41B9-9045-9D971BD2A63E}" xr6:coauthVersionLast="47" xr6:coauthVersionMax="47" xr10:uidLastSave="{A2FE4879-B018-4F09-943E-E39A5F5E8BB2}"/>
  <bookViews>
    <workbookView xWindow="-110" yWindow="-110" windowWidth="23260" windowHeight="14860" firstSheet="12" activeTab="15" xr2:uid="{00000000-000D-0000-FFFF-FFFF00000000}"/>
  </bookViews>
  <sheets>
    <sheet name="MASTER" sheetId="1" r:id="rId1"/>
    <sheet name="Mar2021" sheetId="2" state="hidden" r:id="rId2"/>
    <sheet name="Apr2021" sheetId="3" state="hidden" r:id="rId3"/>
    <sheet name="May2021" sheetId="4" state="hidden" r:id="rId4"/>
    <sheet name="Jun2021" sheetId="5" state="hidden" r:id="rId5"/>
    <sheet name="Jul2021" sheetId="6" state="hidden" r:id="rId6"/>
    <sheet name="Aug2021" sheetId="7" state="hidden" r:id="rId7"/>
    <sheet name="Sept2021" sheetId="8" state="hidden" r:id="rId8"/>
    <sheet name="Oct2021" sheetId="9" state="hidden" r:id="rId9"/>
    <sheet name="Nov2021" sheetId="10" state="hidden" r:id="rId10"/>
    <sheet name="Dec2021" sheetId="11" state="hidden" r:id="rId11"/>
    <sheet name="Jan2022" sheetId="12" state="hidden" r:id="rId12"/>
    <sheet name="June 2026" sheetId="24" r:id="rId13"/>
    <sheet name="July 2026" sheetId="25" r:id="rId14"/>
    <sheet name="August 2026" sheetId="26" r:id="rId15"/>
    <sheet name="September 2026" sheetId="27" r:id="rId16"/>
    <sheet name="October 2026" sheetId="28" r:id="rId17"/>
    <sheet name="November 2026" sheetId="29" r:id="rId18"/>
    <sheet name="December 2026" sheetId="30" r:id="rId19"/>
    <sheet name="January 2027" sheetId="31" r:id="rId20"/>
    <sheet name="February 2027" sheetId="32" r:id="rId21"/>
    <sheet name="March 2027" sheetId="33" r:id="rId22"/>
    <sheet name="April 2027" sheetId="34" r:id="rId23"/>
    <sheet name="May 2027" sheetId="35" r:id="rId24"/>
    <sheet name="June 2027" sheetId="36" r:id="rId25"/>
    <sheet name="Sheet4" sheetId="49" r:id="rId26"/>
    <sheet name="Jan2021" sheetId="37" state="hidden" r:id="rId27"/>
    <sheet name="Feb2021" sheetId="38" state="hidden" r:id="rId28"/>
    <sheet name="©" sheetId="39" r:id="rId29"/>
    <sheet name="Jul2020" sheetId="40" state="hidden" r:id="rId30"/>
    <sheet name="Aug2020" sheetId="41" state="hidden" r:id="rId31"/>
    <sheet name="Sep2020" sheetId="42" state="hidden" r:id="rId32"/>
    <sheet name="Oct2020" sheetId="43" state="hidden" r:id="rId33"/>
    <sheet name="Nov2020" sheetId="44" state="hidden" r:id="rId34"/>
    <sheet name="Dec2020" sheetId="45" state="hidden" r:id="rId35"/>
  </sheets>
  <definedNames>
    <definedName name="startday">'©'!$A$20</definedName>
    <definedName name="valuevx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4" i="35" l="1"/>
  <c r="C24" i="35" s="1"/>
  <c r="E24" i="35" s="1"/>
  <c r="G24" i="35" s="1"/>
  <c r="I24" i="35" s="1"/>
  <c r="K24" i="35" s="1"/>
  <c r="M24" i="35" s="1"/>
  <c r="I58" i="24"/>
  <c r="A15" i="24"/>
  <c r="C15" i="24" s="1"/>
  <c r="E15" i="24" s="1"/>
  <c r="G15" i="24" s="1"/>
  <c r="I15" i="24" s="1"/>
  <c r="K15" i="24" s="1"/>
  <c r="M15" i="24" s="1"/>
  <c r="A24" i="24" s="1"/>
  <c r="C24" i="24" s="1"/>
  <c r="E24" i="24" s="1"/>
  <c r="G24" i="24" s="1"/>
  <c r="I24" i="24" s="1"/>
  <c r="K24" i="24" s="1"/>
  <c r="M24" i="24" s="1"/>
  <c r="A33" i="24" s="1"/>
  <c r="C33" i="24" s="1"/>
  <c r="E33" i="24" s="1"/>
  <c r="G33" i="24" s="1"/>
  <c r="I33" i="24" s="1"/>
  <c r="K33" i="24" s="1"/>
  <c r="M33" i="24" s="1"/>
  <c r="A42" i="24" s="1"/>
  <c r="C42" i="24" s="1"/>
  <c r="A1" i="36"/>
  <c r="A6" i="36" s="1"/>
  <c r="C6" i="36" s="1"/>
  <c r="E6" i="36" s="1"/>
  <c r="G6" i="36" s="1"/>
  <c r="I6" i="36" s="1"/>
  <c r="K6" i="36" s="1"/>
  <c r="M6" i="36" s="1"/>
  <c r="A15" i="36" s="1"/>
  <c r="C15" i="36" s="1"/>
  <c r="E15" i="36" s="1"/>
  <c r="G15" i="36" s="1"/>
  <c r="I15" i="36" s="1"/>
  <c r="K15" i="36" s="1"/>
  <c r="M15" i="36" s="1"/>
  <c r="A24" i="36" s="1"/>
  <c r="C24" i="36" s="1"/>
  <c r="E24" i="36" s="1"/>
  <c r="G24" i="36" s="1"/>
  <c r="I24" i="36" s="1"/>
  <c r="K24" i="36" s="1"/>
  <c r="M24" i="36" s="1"/>
  <c r="I58" i="36"/>
  <c r="A1" i="35"/>
  <c r="A6" i="35" s="1"/>
  <c r="C6" i="35" s="1"/>
  <c r="E6" i="35" s="1"/>
  <c r="G6" i="35" s="1"/>
  <c r="I6" i="35" s="1"/>
  <c r="K6" i="35" s="1"/>
  <c r="M6" i="35" s="1"/>
  <c r="A15" i="35" s="1"/>
  <c r="I58" i="35"/>
  <c r="A1" i="34"/>
  <c r="A6" i="34" s="1"/>
  <c r="C6" i="34" s="1"/>
  <c r="E6" i="34" s="1"/>
  <c r="G6" i="34" s="1"/>
  <c r="I6" i="34" s="1"/>
  <c r="K6" i="34" s="1"/>
  <c r="M6" i="34" s="1"/>
  <c r="A15" i="34" s="1"/>
  <c r="I58" i="34"/>
  <c r="A1" i="33"/>
  <c r="A6" i="33" s="1"/>
  <c r="C6" i="33" s="1"/>
  <c r="E6" i="33" s="1"/>
  <c r="G6" i="33" s="1"/>
  <c r="I6" i="33" s="1"/>
  <c r="K6" i="33" s="1"/>
  <c r="M6" i="33" s="1"/>
  <c r="A15" i="33" s="1"/>
  <c r="I58" i="33"/>
  <c r="A1" i="32"/>
  <c r="A6" i="32" s="1"/>
  <c r="C6" i="32" s="1"/>
  <c r="E6" i="32" s="1"/>
  <c r="G6" i="32" s="1"/>
  <c r="I6" i="32" s="1"/>
  <c r="K6" i="32" s="1"/>
  <c r="M6" i="32" s="1"/>
  <c r="A15" i="32" s="1"/>
  <c r="I58" i="32"/>
  <c r="A5" i="36" l="1"/>
  <c r="A4" i="36"/>
  <c r="C15" i="35"/>
  <c r="A5" i="35"/>
  <c r="A4" i="35"/>
  <c r="C15" i="34"/>
  <c r="A5" i="34"/>
  <c r="A4" i="34"/>
  <c r="C15" i="33"/>
  <c r="A5" i="33"/>
  <c r="A4" i="33"/>
  <c r="C15" i="32"/>
  <c r="A5" i="32"/>
  <c r="A4" i="32"/>
  <c r="A1" i="31"/>
  <c r="A4" i="31" s="1"/>
  <c r="I58" i="31"/>
  <c r="A1" i="30"/>
  <c r="A6" i="30" s="1"/>
  <c r="C6" i="30" s="1"/>
  <c r="E6" i="30" s="1"/>
  <c r="G6" i="30" s="1"/>
  <c r="I6" i="30" s="1"/>
  <c r="K6" i="30" s="1"/>
  <c r="M6" i="30" s="1"/>
  <c r="A15" i="30" s="1"/>
  <c r="I58" i="30"/>
  <c r="C5" i="36" l="1"/>
  <c r="E15" i="35"/>
  <c r="C5" i="35"/>
  <c r="E15" i="34"/>
  <c r="C5" i="34"/>
  <c r="E15" i="33"/>
  <c r="C5" i="33"/>
  <c r="E15" i="32"/>
  <c r="C5" i="32"/>
  <c r="A6" i="31"/>
  <c r="C6" i="31" s="1"/>
  <c r="E6" i="31" s="1"/>
  <c r="G6" i="31" s="1"/>
  <c r="I6" i="31" s="1"/>
  <c r="K6" i="31" s="1"/>
  <c r="M6" i="31" s="1"/>
  <c r="A15" i="31" s="1"/>
  <c r="A4" i="30"/>
  <c r="A5" i="30"/>
  <c r="C15" i="30"/>
  <c r="E5" i="36" l="1"/>
  <c r="G15" i="35"/>
  <c r="E5" i="35"/>
  <c r="G15" i="34"/>
  <c r="E5" i="34"/>
  <c r="G15" i="33"/>
  <c r="E5" i="33"/>
  <c r="G15" i="32"/>
  <c r="E5" i="32"/>
  <c r="C15" i="31"/>
  <c r="A5" i="31"/>
  <c r="C5" i="30"/>
  <c r="E15" i="30"/>
  <c r="G5" i="36" l="1"/>
  <c r="I15" i="35"/>
  <c r="G5" i="35"/>
  <c r="I15" i="34"/>
  <c r="G5" i="34"/>
  <c r="I15" i="33"/>
  <c r="G5" i="33"/>
  <c r="I15" i="32"/>
  <c r="G5" i="32"/>
  <c r="E15" i="31"/>
  <c r="C5" i="31"/>
  <c r="E5" i="30"/>
  <c r="G15" i="30"/>
  <c r="I5" i="36" l="1"/>
  <c r="I5" i="35"/>
  <c r="K15" i="35"/>
  <c r="K15" i="34"/>
  <c r="I5" i="34"/>
  <c r="K15" i="33"/>
  <c r="I5" i="33"/>
  <c r="K15" i="32"/>
  <c r="I5" i="32"/>
  <c r="G15" i="31"/>
  <c r="E5" i="31"/>
  <c r="I15" i="30"/>
  <c r="G5" i="30"/>
  <c r="K5" i="36" l="1"/>
  <c r="K5" i="35"/>
  <c r="M15" i="35"/>
  <c r="M15" i="34"/>
  <c r="K5" i="34"/>
  <c r="M15" i="33"/>
  <c r="K5" i="33"/>
  <c r="M15" i="32"/>
  <c r="K5" i="32"/>
  <c r="I15" i="31"/>
  <c r="G5" i="31"/>
  <c r="K15" i="30"/>
  <c r="I5" i="30"/>
  <c r="A33" i="36" l="1"/>
  <c r="C33" i="36" s="1"/>
  <c r="E33" i="36" s="1"/>
  <c r="G33" i="36" s="1"/>
  <c r="I33" i="36" s="1"/>
  <c r="K33" i="36" s="1"/>
  <c r="M33" i="36" s="1"/>
  <c r="A42" i="36" s="1"/>
  <c r="C42" i="36" s="1"/>
  <c r="M5" i="36"/>
  <c r="A33" i="35"/>
  <c r="C33" i="35" s="1"/>
  <c r="E33" i="35" s="1"/>
  <c r="G33" i="35" s="1"/>
  <c r="I33" i="35" s="1"/>
  <c r="K33" i="35" s="1"/>
  <c r="M33" i="35" s="1"/>
  <c r="A42" i="35" s="1"/>
  <c r="C42" i="35" s="1"/>
  <c r="M5" i="35"/>
  <c r="A24" i="34"/>
  <c r="C24" i="34" s="1"/>
  <c r="E24" i="34" s="1"/>
  <c r="G24" i="34" s="1"/>
  <c r="I24" i="34" s="1"/>
  <c r="K24" i="34" s="1"/>
  <c r="M24" i="34" s="1"/>
  <c r="A33" i="34" s="1"/>
  <c r="C33" i="34" s="1"/>
  <c r="E33" i="34" s="1"/>
  <c r="G33" i="34" s="1"/>
  <c r="I33" i="34" s="1"/>
  <c r="K33" i="34" s="1"/>
  <c r="M33" i="34" s="1"/>
  <c r="A42" i="34" s="1"/>
  <c r="C42" i="34" s="1"/>
  <c r="M5" i="34"/>
  <c r="A24" i="33"/>
  <c r="C24" i="33" s="1"/>
  <c r="E24" i="33" s="1"/>
  <c r="G24" i="33" s="1"/>
  <c r="I24" i="33" s="1"/>
  <c r="K24" i="33" s="1"/>
  <c r="M24" i="33" s="1"/>
  <c r="A33" i="33" s="1"/>
  <c r="C33" i="33" s="1"/>
  <c r="E33" i="33" s="1"/>
  <c r="G33" i="33" s="1"/>
  <c r="I33" i="33" s="1"/>
  <c r="K33" i="33" s="1"/>
  <c r="M33" i="33" s="1"/>
  <c r="A42" i="33" s="1"/>
  <c r="C42" i="33" s="1"/>
  <c r="M5" i="33"/>
  <c r="A24" i="32"/>
  <c r="C24" i="32" s="1"/>
  <c r="E24" i="32" s="1"/>
  <c r="G24" i="32" s="1"/>
  <c r="I24" i="32" s="1"/>
  <c r="K24" i="32" s="1"/>
  <c r="M24" i="32" s="1"/>
  <c r="A33" i="32" s="1"/>
  <c r="C33" i="32" s="1"/>
  <c r="E33" i="32" s="1"/>
  <c r="G33" i="32" s="1"/>
  <c r="I33" i="32" s="1"/>
  <c r="K33" i="32" s="1"/>
  <c r="M33" i="32" s="1"/>
  <c r="A42" i="32" s="1"/>
  <c r="C42" i="32" s="1"/>
  <c r="M5" i="32"/>
  <c r="K15" i="31"/>
  <c r="I5" i="31"/>
  <c r="M15" i="30"/>
  <c r="K5" i="30"/>
  <c r="K5" i="31" l="1"/>
  <c r="M15" i="31"/>
  <c r="M5" i="30"/>
  <c r="A24" i="30"/>
  <c r="C24" i="30" s="1"/>
  <c r="E24" i="30" s="1"/>
  <c r="G24" i="30" s="1"/>
  <c r="I24" i="30" s="1"/>
  <c r="K24" i="30" s="1"/>
  <c r="M24" i="30" s="1"/>
  <c r="A33" i="30" s="1"/>
  <c r="C33" i="30" s="1"/>
  <c r="E33" i="30" s="1"/>
  <c r="G33" i="30" s="1"/>
  <c r="I33" i="30" s="1"/>
  <c r="K33" i="30" s="1"/>
  <c r="M33" i="30" s="1"/>
  <c r="A42" i="30" s="1"/>
  <c r="C42" i="30" s="1"/>
  <c r="A24" i="31" l="1"/>
  <c r="C24" i="31" s="1"/>
  <c r="E24" i="31" s="1"/>
  <c r="G24" i="31" s="1"/>
  <c r="I24" i="31" s="1"/>
  <c r="K24" i="31" s="1"/>
  <c r="M24" i="31" s="1"/>
  <c r="A33" i="31" s="1"/>
  <c r="C33" i="31" s="1"/>
  <c r="E33" i="31" s="1"/>
  <c r="G33" i="31" s="1"/>
  <c r="I33" i="31" s="1"/>
  <c r="K33" i="31" s="1"/>
  <c r="M33" i="31" s="1"/>
  <c r="A42" i="31" s="1"/>
  <c r="C42" i="31" s="1"/>
  <c r="M5" i="31"/>
  <c r="A1" i="29" l="1"/>
  <c r="A6" i="29" s="1"/>
  <c r="C6" i="29" s="1"/>
  <c r="E6" i="29" s="1"/>
  <c r="G6" i="29" s="1"/>
  <c r="I6" i="29" s="1"/>
  <c r="K6" i="29" s="1"/>
  <c r="M6" i="29" s="1"/>
  <c r="A15" i="29" s="1"/>
  <c r="I58" i="29"/>
  <c r="A1" i="28"/>
  <c r="A6" i="28" s="1"/>
  <c r="C6" i="28" s="1"/>
  <c r="E6" i="28" s="1"/>
  <c r="G6" i="28" s="1"/>
  <c r="I6" i="28" s="1"/>
  <c r="K6" i="28" s="1"/>
  <c r="M6" i="28" s="1"/>
  <c r="A15" i="28" s="1"/>
  <c r="I58" i="28"/>
  <c r="A1" i="27"/>
  <c r="C6" i="27" s="1"/>
  <c r="E6" i="27" s="1"/>
  <c r="G6" i="27" s="1"/>
  <c r="I6" i="27" s="1"/>
  <c r="K6" i="27" s="1"/>
  <c r="M6" i="27" s="1"/>
  <c r="A15" i="27" s="1"/>
  <c r="A5" i="27" s="1"/>
  <c r="I58" i="27"/>
  <c r="A1" i="26"/>
  <c r="A6" i="26" s="1"/>
  <c r="C6" i="26" s="1"/>
  <c r="E6" i="26" s="1"/>
  <c r="G6" i="26" s="1"/>
  <c r="I6" i="26" s="1"/>
  <c r="K6" i="26" s="1"/>
  <c r="M6" i="26" s="1"/>
  <c r="A15" i="26" s="1"/>
  <c r="I58" i="26"/>
  <c r="C15" i="29" l="1"/>
  <c r="A5" i="29"/>
  <c r="A4" i="29"/>
  <c r="A5" i="28"/>
  <c r="C15" i="28"/>
  <c r="A4" i="28"/>
  <c r="C15" i="27"/>
  <c r="C5" i="27" s="1"/>
  <c r="A4" i="27"/>
  <c r="C15" i="26"/>
  <c r="A5" i="26"/>
  <c r="A4" i="26"/>
  <c r="I53" i="45"/>
  <c r="A1" i="45"/>
  <c r="A6" i="45" s="1"/>
  <c r="C6" i="45" s="1"/>
  <c r="E6" i="45" s="1"/>
  <c r="G6" i="45" s="1"/>
  <c r="I6" i="45" s="1"/>
  <c r="K6" i="45" s="1"/>
  <c r="M6" i="45" s="1"/>
  <c r="A14" i="45" s="1"/>
  <c r="I53" i="44"/>
  <c r="A1" i="44"/>
  <c r="A6" i="44" s="1"/>
  <c r="C6" i="44" s="1"/>
  <c r="E6" i="44" s="1"/>
  <c r="G6" i="44" s="1"/>
  <c r="I6" i="44" s="1"/>
  <c r="K6" i="44" s="1"/>
  <c r="M6" i="44" s="1"/>
  <c r="A14" i="44" s="1"/>
  <c r="A5" i="44" s="1"/>
  <c r="I53" i="43"/>
  <c r="A1" i="43"/>
  <c r="A6" i="43" s="1"/>
  <c r="C6" i="43" s="1"/>
  <c r="E6" i="43" s="1"/>
  <c r="G6" i="43" s="1"/>
  <c r="I6" i="43" s="1"/>
  <c r="K6" i="43" s="1"/>
  <c r="M6" i="43" s="1"/>
  <c r="A14" i="43" s="1"/>
  <c r="I53" i="42"/>
  <c r="A1" i="42"/>
  <c r="A6" i="42" s="1"/>
  <c r="C6" i="42" s="1"/>
  <c r="E6" i="42" s="1"/>
  <c r="G6" i="42" s="1"/>
  <c r="I6" i="42" s="1"/>
  <c r="K6" i="42" s="1"/>
  <c r="M6" i="42" s="1"/>
  <c r="A14" i="42" s="1"/>
  <c r="I53" i="41"/>
  <c r="A1" i="41"/>
  <c r="A4" i="41" s="1"/>
  <c r="I53" i="40"/>
  <c r="A1" i="40"/>
  <c r="A6" i="40" s="1"/>
  <c r="C6" i="40" s="1"/>
  <c r="E6" i="40" s="1"/>
  <c r="A4" i="40"/>
  <c r="A13" i="39"/>
  <c r="A1" i="39"/>
  <c r="I53" i="38"/>
  <c r="A1" i="38"/>
  <c r="I53" i="37"/>
  <c r="A1" i="37"/>
  <c r="A6" i="37" s="1"/>
  <c r="C6" i="37" s="1"/>
  <c r="E6" i="37" s="1"/>
  <c r="G6" i="37" s="1"/>
  <c r="I6" i="37" s="1"/>
  <c r="K6" i="37" s="1"/>
  <c r="M6" i="37" s="1"/>
  <c r="A14" i="37" s="1"/>
  <c r="A4" i="37"/>
  <c r="I58" i="25"/>
  <c r="A1" i="25"/>
  <c r="A6" i="25" s="1"/>
  <c r="C6" i="25" s="1"/>
  <c r="E6" i="25" s="1"/>
  <c r="G6" i="25" s="1"/>
  <c r="I6" i="25" s="1"/>
  <c r="K6" i="25" s="1"/>
  <c r="M6" i="25" s="1"/>
  <c r="A15" i="25" s="1"/>
  <c r="A1" i="24"/>
  <c r="I53" i="12"/>
  <c r="A1" i="12"/>
  <c r="A4" i="12" s="1"/>
  <c r="I53" i="11"/>
  <c r="A1" i="11"/>
  <c r="A6" i="11" s="1"/>
  <c r="C6" i="11" s="1"/>
  <c r="E6" i="11" s="1"/>
  <c r="G6" i="11" s="1"/>
  <c r="I6" i="11" s="1"/>
  <c r="K6" i="11" s="1"/>
  <c r="M6" i="11" s="1"/>
  <c r="A14" i="11" s="1"/>
  <c r="A4" i="11"/>
  <c r="I53" i="10"/>
  <c r="A1" i="10"/>
  <c r="A4" i="10" s="1"/>
  <c r="I53" i="9"/>
  <c r="A1" i="9"/>
  <c r="A4" i="9" s="1"/>
  <c r="I53" i="8"/>
  <c r="A1" i="8"/>
  <c r="I53" i="7"/>
  <c r="A1" i="7"/>
  <c r="A4" i="7"/>
  <c r="I53" i="6"/>
  <c r="A1" i="6"/>
  <c r="A4" i="6" s="1"/>
  <c r="I53" i="5"/>
  <c r="A1" i="5"/>
  <c r="I53" i="4"/>
  <c r="A1" i="4"/>
  <c r="A6" i="4" s="1"/>
  <c r="C6" i="4" s="1"/>
  <c r="E6" i="4" s="1"/>
  <c r="G6" i="4" s="1"/>
  <c r="I6" i="4" s="1"/>
  <c r="K6" i="4" s="1"/>
  <c r="M6" i="4" s="1"/>
  <c r="A14" i="4" s="1"/>
  <c r="I53" i="3"/>
  <c r="A1" i="3"/>
  <c r="A4" i="3" s="1"/>
  <c r="A6" i="3"/>
  <c r="C6" i="3" s="1"/>
  <c r="E6" i="3" s="1"/>
  <c r="G6" i="3" s="1"/>
  <c r="I6" i="3" s="1"/>
  <c r="K6" i="3" s="1"/>
  <c r="M6" i="3" s="1"/>
  <c r="A14" i="3" s="1"/>
  <c r="I53" i="2"/>
  <c r="A1" i="2"/>
  <c r="A6" i="2" s="1"/>
  <c r="C6" i="2" s="1"/>
  <c r="E6" i="2" s="1"/>
  <c r="G6" i="2" s="1"/>
  <c r="I6" i="2" s="1"/>
  <c r="K6" i="2" s="1"/>
  <c r="M6" i="2" s="1"/>
  <c r="A14" i="2" s="1"/>
  <c r="I53" i="1"/>
  <c r="A1" i="1"/>
  <c r="A4" i="1" s="1"/>
  <c r="A6" i="1"/>
  <c r="C6" i="1"/>
  <c r="E6" i="1" s="1"/>
  <c r="G6" i="1" s="1"/>
  <c r="I6" i="1" s="1"/>
  <c r="K6" i="1" s="1"/>
  <c r="M6" i="1" s="1"/>
  <c r="A14" i="1" s="1"/>
  <c r="A5" i="1" s="1"/>
  <c r="G6" i="40"/>
  <c r="I6" i="40" s="1"/>
  <c r="K6" i="40" s="1"/>
  <c r="M6" i="40" s="1"/>
  <c r="A14" i="40" s="1"/>
  <c r="A6" i="7"/>
  <c r="C6" i="7" s="1"/>
  <c r="E6" i="7" s="1"/>
  <c r="G6" i="7" s="1"/>
  <c r="I6" i="7" s="1"/>
  <c r="K6" i="7" s="1"/>
  <c r="M6" i="7" s="1"/>
  <c r="A14" i="7" s="1"/>
  <c r="A4" i="25"/>
  <c r="A4" i="8"/>
  <c r="A6" i="8"/>
  <c r="C6" i="8" s="1"/>
  <c r="E6" i="8" s="1"/>
  <c r="G6" i="8" s="1"/>
  <c r="I6" i="8" s="1"/>
  <c r="K6" i="8" s="1"/>
  <c r="M6" i="8" s="1"/>
  <c r="A14" i="8" s="1"/>
  <c r="A4" i="2"/>
  <c r="A4" i="44"/>
  <c r="A4" i="43"/>
  <c r="A5" i="43" l="1"/>
  <c r="C14" i="43"/>
  <c r="A6" i="41"/>
  <c r="C6" i="41" s="1"/>
  <c r="E6" i="41" s="1"/>
  <c r="G6" i="41" s="1"/>
  <c r="I6" i="41" s="1"/>
  <c r="K6" i="41" s="1"/>
  <c r="M6" i="41" s="1"/>
  <c r="A14" i="41" s="1"/>
  <c r="A46" i="9"/>
  <c r="C46" i="9" s="1"/>
  <c r="A4" i="42"/>
  <c r="A6" i="9"/>
  <c r="C6" i="9" s="1"/>
  <c r="E6" i="9" s="1"/>
  <c r="G6" i="9" s="1"/>
  <c r="I6" i="9" s="1"/>
  <c r="K6" i="9" s="1"/>
  <c r="M6" i="9" s="1"/>
  <c r="A14" i="9" s="1"/>
  <c r="A5" i="9" s="1"/>
  <c r="A6" i="12"/>
  <c r="C6" i="12" s="1"/>
  <c r="E6" i="12" s="1"/>
  <c r="G6" i="12" s="1"/>
  <c r="I6" i="12" s="1"/>
  <c r="K6" i="12" s="1"/>
  <c r="M6" i="12" s="1"/>
  <c r="A14" i="12" s="1"/>
  <c r="A5" i="12" s="1"/>
  <c r="C14" i="8"/>
  <c r="A5" i="8"/>
  <c r="A5" i="7"/>
  <c r="C14" i="7"/>
  <c r="C14" i="1"/>
  <c r="E14" i="1" s="1"/>
  <c r="A4" i="24"/>
  <c r="A6" i="24"/>
  <c r="C6" i="24" s="1"/>
  <c r="E6" i="24" s="1"/>
  <c r="G6" i="24" s="1"/>
  <c r="I6" i="24" s="1"/>
  <c r="K6" i="24" s="1"/>
  <c r="M6" i="24" s="1"/>
  <c r="A4" i="45"/>
  <c r="A6" i="6"/>
  <c r="C6" i="6" s="1"/>
  <c r="E6" i="6" s="1"/>
  <c r="G6" i="6" s="1"/>
  <c r="I6" i="6" s="1"/>
  <c r="K6" i="6" s="1"/>
  <c r="M6" i="6" s="1"/>
  <c r="A14" i="6" s="1"/>
  <c r="A5" i="6" s="1"/>
  <c r="A6" i="10"/>
  <c r="C6" i="10" s="1"/>
  <c r="E6" i="10" s="1"/>
  <c r="G6" i="10" s="1"/>
  <c r="I6" i="10" s="1"/>
  <c r="K6" i="10" s="1"/>
  <c r="M6" i="10" s="1"/>
  <c r="A14" i="10" s="1"/>
  <c r="A4" i="4"/>
  <c r="E15" i="29"/>
  <c r="C5" i="29"/>
  <c r="C5" i="28"/>
  <c r="E15" i="28"/>
  <c r="E15" i="27"/>
  <c r="E15" i="26"/>
  <c r="C5" i="26"/>
  <c r="A5" i="37"/>
  <c r="C14" i="37"/>
  <c r="C14" i="9"/>
  <c r="C14" i="40"/>
  <c r="A5" i="40"/>
  <c r="C14" i="11"/>
  <c r="A5" i="11"/>
  <c r="A5" i="41"/>
  <c r="C14" i="41"/>
  <c r="E14" i="7"/>
  <c r="C5" i="7"/>
  <c r="C5" i="1"/>
  <c r="A5" i="45"/>
  <c r="C14" i="45"/>
  <c r="C14" i="4"/>
  <c r="A5" i="4"/>
  <c r="C14" i="44"/>
  <c r="C14" i="12"/>
  <c r="A5" i="2"/>
  <c r="C14" i="2"/>
  <c r="A6" i="38"/>
  <c r="C6" i="38" s="1"/>
  <c r="E6" i="38" s="1"/>
  <c r="G6" i="38" s="1"/>
  <c r="I6" i="38" s="1"/>
  <c r="K6" i="38" s="1"/>
  <c r="M6" i="38" s="1"/>
  <c r="A14" i="38" s="1"/>
  <c r="A4" i="38"/>
  <c r="C15" i="25"/>
  <c r="A5" i="25"/>
  <c r="A5" i="3"/>
  <c r="C14" i="3"/>
  <c r="A5" i="42"/>
  <c r="C14" i="42"/>
  <c r="C14" i="6"/>
  <c r="E14" i="43"/>
  <c r="C5" i="43"/>
  <c r="A4" i="5"/>
  <c r="A6" i="5"/>
  <c r="C6" i="5" s="1"/>
  <c r="E6" i="5" s="1"/>
  <c r="G6" i="5" s="1"/>
  <c r="I6" i="5" s="1"/>
  <c r="K6" i="5" s="1"/>
  <c r="M6" i="5" s="1"/>
  <c r="A14" i="5" s="1"/>
  <c r="A5" i="10" l="1"/>
  <c r="C14" i="10"/>
  <c r="C5" i="8"/>
  <c r="E14" i="8"/>
  <c r="G15" i="29"/>
  <c r="E5" i="29"/>
  <c r="G15" i="28"/>
  <c r="E5" i="28"/>
  <c r="E5" i="27"/>
  <c r="G15" i="27"/>
  <c r="G15" i="26"/>
  <c r="E5" i="26"/>
  <c r="A5" i="24"/>
  <c r="E14" i="41"/>
  <c r="C5" i="41"/>
  <c r="C5" i="25"/>
  <c r="E15" i="25"/>
  <c r="E14" i="45"/>
  <c r="C5" i="45"/>
  <c r="A5" i="5"/>
  <c r="C14" i="5"/>
  <c r="E14" i="11"/>
  <c r="C5" i="11"/>
  <c r="E5" i="7"/>
  <c r="G14" i="7"/>
  <c r="C14" i="38"/>
  <c r="A5" i="38"/>
  <c r="C5" i="2"/>
  <c r="E14" i="2"/>
  <c r="E14" i="6"/>
  <c r="C5" i="6"/>
  <c r="C5" i="42"/>
  <c r="E14" i="42"/>
  <c r="C5" i="37"/>
  <c r="E14" i="37"/>
  <c r="E14" i="4"/>
  <c r="C5" i="4"/>
  <c r="E5" i="43"/>
  <c r="G14" i="43"/>
  <c r="E14" i="40"/>
  <c r="C5" i="40"/>
  <c r="C5" i="12"/>
  <c r="E14" i="12"/>
  <c r="G14" i="1"/>
  <c r="E5" i="1"/>
  <c r="E14" i="9"/>
  <c r="C5" i="9"/>
  <c r="E14" i="3"/>
  <c r="C5" i="3"/>
  <c r="C5" i="44"/>
  <c r="E14" i="44"/>
  <c r="G14" i="8" l="1"/>
  <c r="E5" i="8"/>
  <c r="E14" i="10"/>
  <c r="C5" i="10"/>
  <c r="I15" i="29"/>
  <c r="G5" i="29"/>
  <c r="I15" i="28"/>
  <c r="G5" i="28"/>
  <c r="G5" i="27"/>
  <c r="I15" i="27"/>
  <c r="I15" i="26"/>
  <c r="G5" i="26"/>
  <c r="I14" i="1"/>
  <c r="G5" i="1"/>
  <c r="E14" i="5"/>
  <c r="C5" i="5"/>
  <c r="G14" i="6"/>
  <c r="E5" i="6"/>
  <c r="E5" i="44"/>
  <c r="G14" i="44"/>
  <c r="E5" i="2"/>
  <c r="G14" i="2"/>
  <c r="E5" i="40"/>
  <c r="G14" i="40"/>
  <c r="G14" i="45"/>
  <c r="E5" i="45"/>
  <c r="I14" i="43"/>
  <c r="G5" i="43"/>
  <c r="E5" i="25"/>
  <c r="G15" i="25"/>
  <c r="C5" i="38"/>
  <c r="E14" i="38"/>
  <c r="E5" i="42"/>
  <c r="G14" i="42"/>
  <c r="G14" i="11"/>
  <c r="E5" i="11"/>
  <c r="I14" i="7"/>
  <c r="G5" i="7"/>
  <c r="G14" i="12"/>
  <c r="E5" i="12"/>
  <c r="E5" i="3"/>
  <c r="G14" i="3"/>
  <c r="E5" i="41"/>
  <c r="G14" i="41"/>
  <c r="E5" i="9"/>
  <c r="G14" i="9"/>
  <c r="G14" i="4"/>
  <c r="E5" i="4"/>
  <c r="C5" i="24"/>
  <c r="G14" i="37"/>
  <c r="E5" i="37"/>
  <c r="G14" i="10" l="1"/>
  <c r="E5" i="10"/>
  <c r="G5" i="8"/>
  <c r="I14" i="8"/>
  <c r="K15" i="29"/>
  <c r="I5" i="29"/>
  <c r="K15" i="28"/>
  <c r="I5" i="28"/>
  <c r="K15" i="27"/>
  <c r="I5" i="27"/>
  <c r="K15" i="26"/>
  <c r="I5" i="26"/>
  <c r="E5" i="24"/>
  <c r="G5" i="45"/>
  <c r="I14" i="45"/>
  <c r="I14" i="42"/>
  <c r="G5" i="42"/>
  <c r="I14" i="2"/>
  <c r="G5" i="2"/>
  <c r="G5" i="6"/>
  <c r="I14" i="6"/>
  <c r="G5" i="11"/>
  <c r="I14" i="11"/>
  <c r="I14" i="41"/>
  <c r="G5" i="41"/>
  <c r="G5" i="44"/>
  <c r="I14" i="44"/>
  <c r="I14" i="37"/>
  <c r="G5" i="37"/>
  <c r="G5" i="40"/>
  <c r="I14" i="40"/>
  <c r="I14" i="3"/>
  <c r="G5" i="3"/>
  <c r="E5" i="38"/>
  <c r="G14" i="38"/>
  <c r="G5" i="25"/>
  <c r="I15" i="25"/>
  <c r="I14" i="4"/>
  <c r="G5" i="4"/>
  <c r="I14" i="12"/>
  <c r="G5" i="12"/>
  <c r="K14" i="7"/>
  <c r="I5" i="7"/>
  <c r="K14" i="43"/>
  <c r="I5" i="43"/>
  <c r="E5" i="5"/>
  <c r="G14" i="5"/>
  <c r="I14" i="9"/>
  <c r="G5" i="9"/>
  <c r="K14" i="1"/>
  <c r="I5" i="1"/>
  <c r="K14" i="8" l="1"/>
  <c r="I5" i="8"/>
  <c r="I14" i="10"/>
  <c r="G5" i="10"/>
  <c r="K5" i="29"/>
  <c r="M15" i="29"/>
  <c r="M15" i="28"/>
  <c r="K5" i="28"/>
  <c r="M15" i="27"/>
  <c r="M15" i="26"/>
  <c r="K5" i="26"/>
  <c r="I14" i="38"/>
  <c r="G5" i="38"/>
  <c r="I14" i="5"/>
  <c r="G5" i="5"/>
  <c r="I5" i="9"/>
  <c r="K14" i="9"/>
  <c r="K14" i="3"/>
  <c r="I5" i="3"/>
  <c r="I5" i="41"/>
  <c r="K14" i="41"/>
  <c r="K14" i="6"/>
  <c r="I5" i="6"/>
  <c r="K5" i="43"/>
  <c r="M14" i="43"/>
  <c r="I5" i="40"/>
  <c r="K14" i="40"/>
  <c r="K5" i="7"/>
  <c r="M14" i="7"/>
  <c r="K14" i="12"/>
  <c r="I5" i="12"/>
  <c r="K14" i="44"/>
  <c r="I5" i="44"/>
  <c r="I5" i="45"/>
  <c r="K14" i="45"/>
  <c r="K14" i="4"/>
  <c r="I5" i="4"/>
  <c r="K14" i="11"/>
  <c r="I5" i="11"/>
  <c r="I5" i="2"/>
  <c r="K14" i="2"/>
  <c r="K14" i="42"/>
  <c r="I5" i="42"/>
  <c r="K15" i="25"/>
  <c r="I5" i="25"/>
  <c r="K5" i="1"/>
  <c r="M14" i="1"/>
  <c r="I5" i="37"/>
  <c r="K14" i="37"/>
  <c r="G5" i="24"/>
  <c r="M5" i="27" l="1"/>
  <c r="K5" i="27"/>
  <c r="K14" i="10"/>
  <c r="I5" i="10"/>
  <c r="K5" i="8"/>
  <c r="M14" i="8"/>
  <c r="A24" i="29"/>
  <c r="C24" i="29" s="1"/>
  <c r="E24" i="29" s="1"/>
  <c r="G24" i="29" s="1"/>
  <c r="I24" i="29" s="1"/>
  <c r="K24" i="29" s="1"/>
  <c r="M24" i="29" s="1"/>
  <c r="A33" i="29" s="1"/>
  <c r="C33" i="29" s="1"/>
  <c r="E33" i="29" s="1"/>
  <c r="G33" i="29" s="1"/>
  <c r="I33" i="29" s="1"/>
  <c r="K33" i="29" s="1"/>
  <c r="M33" i="29" s="1"/>
  <c r="A42" i="29" s="1"/>
  <c r="C42" i="29" s="1"/>
  <c r="M5" i="29"/>
  <c r="A24" i="28"/>
  <c r="C24" i="28" s="1"/>
  <c r="E24" i="28" s="1"/>
  <c r="G24" i="28" s="1"/>
  <c r="I24" i="28" s="1"/>
  <c r="K24" i="28" s="1"/>
  <c r="M24" i="28" s="1"/>
  <c r="A33" i="28" s="1"/>
  <c r="C33" i="28" s="1"/>
  <c r="E33" i="28" s="1"/>
  <c r="G33" i="28" s="1"/>
  <c r="I33" i="28" s="1"/>
  <c r="K33" i="28" s="1"/>
  <c r="M33" i="28" s="1"/>
  <c r="A42" i="28" s="1"/>
  <c r="C42" i="28" s="1"/>
  <c r="M5" i="28"/>
  <c r="A24" i="27"/>
  <c r="C24" i="27" s="1"/>
  <c r="E24" i="27" s="1"/>
  <c r="G24" i="27" s="1"/>
  <c r="I24" i="27" s="1"/>
  <c r="K24" i="27" s="1"/>
  <c r="M24" i="27" s="1"/>
  <c r="A33" i="27" s="1"/>
  <c r="C33" i="27" s="1"/>
  <c r="E33" i="27" s="1"/>
  <c r="G33" i="27" s="1"/>
  <c r="I33" i="27" s="1"/>
  <c r="K33" i="27" s="1"/>
  <c r="M33" i="27" s="1"/>
  <c r="A42" i="27" s="1"/>
  <c r="C42" i="27" s="1"/>
  <c r="A24" i="26"/>
  <c r="C24" i="26" s="1"/>
  <c r="E24" i="26" s="1"/>
  <c r="G24" i="26" s="1"/>
  <c r="I24" i="26" s="1"/>
  <c r="K24" i="26" s="1"/>
  <c r="M24" i="26" s="1"/>
  <c r="A33" i="26" s="1"/>
  <c r="C33" i="26" s="1"/>
  <c r="E33" i="26" s="1"/>
  <c r="G33" i="26" s="1"/>
  <c r="I33" i="26" s="1"/>
  <c r="K33" i="26" s="1"/>
  <c r="M33" i="26" s="1"/>
  <c r="A42" i="26" s="1"/>
  <c r="C42" i="26" s="1"/>
  <c r="E42" i="26" s="1"/>
  <c r="M5" i="26"/>
  <c r="M14" i="6"/>
  <c r="K5" i="6"/>
  <c r="K5" i="42"/>
  <c r="M14" i="42"/>
  <c r="M14" i="12"/>
  <c r="K5" i="12"/>
  <c r="M14" i="44"/>
  <c r="K5" i="44"/>
  <c r="K5" i="41"/>
  <c r="M14" i="41"/>
  <c r="I5" i="24"/>
  <c r="K5" i="2"/>
  <c r="M14" i="2"/>
  <c r="M5" i="7"/>
  <c r="A22" i="7"/>
  <c r="C22" i="7" s="1"/>
  <c r="E22" i="7" s="1"/>
  <c r="G22" i="7" s="1"/>
  <c r="I22" i="7" s="1"/>
  <c r="K22" i="7" s="1"/>
  <c r="M22" i="7" s="1"/>
  <c r="A30" i="7" s="1"/>
  <c r="C30" i="7" s="1"/>
  <c r="E30" i="7" s="1"/>
  <c r="G30" i="7" s="1"/>
  <c r="I30" i="7" s="1"/>
  <c r="K30" i="7" s="1"/>
  <c r="M30" i="7" s="1"/>
  <c r="A38" i="7" s="1"/>
  <c r="C38" i="7" s="1"/>
  <c r="E38" i="7" s="1"/>
  <c r="G38" i="7" s="1"/>
  <c r="I38" i="7" s="1"/>
  <c r="K38" i="7" s="1"/>
  <c r="M38" i="7" s="1"/>
  <c r="A46" i="7" s="1"/>
  <c r="C46" i="7" s="1"/>
  <c r="M5" i="43"/>
  <c r="A22" i="43"/>
  <c r="C22" i="43" s="1"/>
  <c r="E22" i="43" s="1"/>
  <c r="G22" i="43" s="1"/>
  <c r="I22" i="43" s="1"/>
  <c r="K22" i="43" s="1"/>
  <c r="M22" i="43" s="1"/>
  <c r="A30" i="43" s="1"/>
  <c r="C30" i="43" s="1"/>
  <c r="E30" i="43" s="1"/>
  <c r="G30" i="43" s="1"/>
  <c r="I30" i="43" s="1"/>
  <c r="K30" i="43" s="1"/>
  <c r="M30" i="43" s="1"/>
  <c r="A38" i="43" s="1"/>
  <c r="C38" i="43" s="1"/>
  <c r="E38" i="43" s="1"/>
  <c r="G38" i="43" s="1"/>
  <c r="I38" i="43" s="1"/>
  <c r="K38" i="43" s="1"/>
  <c r="M38" i="43" s="1"/>
  <c r="A46" i="43" s="1"/>
  <c r="C46" i="43" s="1"/>
  <c r="A22" i="1"/>
  <c r="C22" i="1" s="1"/>
  <c r="E22" i="1" s="1"/>
  <c r="G22" i="1" s="1"/>
  <c r="I22" i="1" s="1"/>
  <c r="K22" i="1" s="1"/>
  <c r="M22" i="1" s="1"/>
  <c r="A30" i="1" s="1"/>
  <c r="C30" i="1" s="1"/>
  <c r="E30" i="1" s="1"/>
  <c r="G30" i="1" s="1"/>
  <c r="I30" i="1" s="1"/>
  <c r="K30" i="1" s="1"/>
  <c r="M30" i="1" s="1"/>
  <c r="A38" i="1" s="1"/>
  <c r="C38" i="1" s="1"/>
  <c r="E38" i="1" s="1"/>
  <c r="G38" i="1" s="1"/>
  <c r="I38" i="1" s="1"/>
  <c r="K38" i="1" s="1"/>
  <c r="M38" i="1" s="1"/>
  <c r="A46" i="1" s="1"/>
  <c r="C46" i="1" s="1"/>
  <c r="M5" i="1"/>
  <c r="M14" i="40"/>
  <c r="K5" i="40"/>
  <c r="M15" i="25"/>
  <c r="K5" i="25"/>
  <c r="K5" i="9"/>
  <c r="M14" i="9"/>
  <c r="K14" i="5"/>
  <c r="I5" i="5"/>
  <c r="M14" i="45"/>
  <c r="K5" i="45"/>
  <c r="K5" i="3"/>
  <c r="M14" i="3"/>
  <c r="M14" i="37"/>
  <c r="K5" i="37"/>
  <c r="M14" i="11"/>
  <c r="K5" i="11"/>
  <c r="M14" i="4"/>
  <c r="K5" i="4"/>
  <c r="I5" i="38"/>
  <c r="K14" i="38"/>
  <c r="A22" i="8" l="1"/>
  <c r="C22" i="8" s="1"/>
  <c r="E22" i="8" s="1"/>
  <c r="G22" i="8" s="1"/>
  <c r="I22" i="8" s="1"/>
  <c r="K22" i="8" s="1"/>
  <c r="M22" i="8" s="1"/>
  <c r="A30" i="8" s="1"/>
  <c r="C30" i="8" s="1"/>
  <c r="E30" i="8" s="1"/>
  <c r="G30" i="8" s="1"/>
  <c r="I30" i="8" s="1"/>
  <c r="K30" i="8" s="1"/>
  <c r="M30" i="8" s="1"/>
  <c r="A38" i="8" s="1"/>
  <c r="C38" i="8" s="1"/>
  <c r="E38" i="8" s="1"/>
  <c r="G38" i="8" s="1"/>
  <c r="I38" i="8" s="1"/>
  <c r="K38" i="8" s="1"/>
  <c r="M38" i="8" s="1"/>
  <c r="A46" i="8" s="1"/>
  <c r="C46" i="8" s="1"/>
  <c r="M5" i="8"/>
  <c r="K5" i="10"/>
  <c r="M14" i="10"/>
  <c r="M5" i="2"/>
  <c r="A22" i="2"/>
  <c r="C22" i="2" s="1"/>
  <c r="E22" i="2" s="1"/>
  <c r="G22" i="2" s="1"/>
  <c r="I22" i="2" s="1"/>
  <c r="K22" i="2" s="1"/>
  <c r="M22" i="2" s="1"/>
  <c r="A30" i="2" s="1"/>
  <c r="C30" i="2" s="1"/>
  <c r="E30" i="2" s="1"/>
  <c r="G30" i="2" s="1"/>
  <c r="I30" i="2" s="1"/>
  <c r="K30" i="2" s="1"/>
  <c r="M30" i="2" s="1"/>
  <c r="A38" i="2" s="1"/>
  <c r="C38" i="2" s="1"/>
  <c r="E38" i="2" s="1"/>
  <c r="G38" i="2" s="1"/>
  <c r="I38" i="2" s="1"/>
  <c r="K38" i="2" s="1"/>
  <c r="M38" i="2" s="1"/>
  <c r="A46" i="2" s="1"/>
  <c r="C46" i="2" s="1"/>
  <c r="K5" i="24"/>
  <c r="M5" i="25"/>
  <c r="A24" i="25"/>
  <c r="C24" i="25" s="1"/>
  <c r="E24" i="25" s="1"/>
  <c r="G24" i="25" s="1"/>
  <c r="I24" i="25" s="1"/>
  <c r="K24" i="25" s="1"/>
  <c r="M24" i="25" s="1"/>
  <c r="A33" i="25" s="1"/>
  <c r="C33" i="25" s="1"/>
  <c r="E33" i="25" s="1"/>
  <c r="G33" i="25" s="1"/>
  <c r="I33" i="25" s="1"/>
  <c r="K33" i="25" s="1"/>
  <c r="M33" i="25" s="1"/>
  <c r="A42" i="25" s="1"/>
  <c r="C42" i="25" s="1"/>
  <c r="E42" i="25" s="1"/>
  <c r="M5" i="3"/>
  <c r="A22" i="3"/>
  <c r="C22" i="3" s="1"/>
  <c r="E22" i="3" s="1"/>
  <c r="G22" i="3" s="1"/>
  <c r="I22" i="3" s="1"/>
  <c r="K22" i="3" s="1"/>
  <c r="M22" i="3" s="1"/>
  <c r="A30" i="3" s="1"/>
  <c r="C30" i="3" s="1"/>
  <c r="E30" i="3" s="1"/>
  <c r="G30" i="3" s="1"/>
  <c r="I30" i="3" s="1"/>
  <c r="K30" i="3" s="1"/>
  <c r="M30" i="3" s="1"/>
  <c r="A38" i="3" s="1"/>
  <c r="C38" i="3" s="1"/>
  <c r="E38" i="3" s="1"/>
  <c r="G38" i="3" s="1"/>
  <c r="I38" i="3" s="1"/>
  <c r="K38" i="3" s="1"/>
  <c r="M38" i="3" s="1"/>
  <c r="A46" i="3" s="1"/>
  <c r="C46" i="3" s="1"/>
  <c r="M5" i="9"/>
  <c r="A22" i="9"/>
  <c r="C22" i="9" s="1"/>
  <c r="E22" i="9" s="1"/>
  <c r="G22" i="9" s="1"/>
  <c r="I22" i="9" s="1"/>
  <c r="K22" i="9" s="1"/>
  <c r="M22" i="9" s="1"/>
  <c r="A30" i="9" s="1"/>
  <c r="C30" i="9" s="1"/>
  <c r="E30" i="9" s="1"/>
  <c r="G30" i="9" s="1"/>
  <c r="I30" i="9" s="1"/>
  <c r="K30" i="9" s="1"/>
  <c r="M30" i="9" s="1"/>
  <c r="A38" i="9" s="1"/>
  <c r="M5" i="4"/>
  <c r="A22" i="4"/>
  <c r="C22" i="4" s="1"/>
  <c r="E22" i="4" s="1"/>
  <c r="G22" i="4" s="1"/>
  <c r="I22" i="4" s="1"/>
  <c r="K22" i="4" s="1"/>
  <c r="M22" i="4" s="1"/>
  <c r="A30" i="4" s="1"/>
  <c r="C30" i="4" s="1"/>
  <c r="E30" i="4" s="1"/>
  <c r="G30" i="4" s="1"/>
  <c r="I30" i="4" s="1"/>
  <c r="K30" i="4" s="1"/>
  <c r="M30" i="4" s="1"/>
  <c r="A38" i="4" s="1"/>
  <c r="C38" i="4" s="1"/>
  <c r="E38" i="4" s="1"/>
  <c r="G38" i="4" s="1"/>
  <c r="I38" i="4" s="1"/>
  <c r="K38" i="4" s="1"/>
  <c r="M38" i="4" s="1"/>
  <c r="A46" i="4" s="1"/>
  <c r="C46" i="4" s="1"/>
  <c r="M5" i="11"/>
  <c r="A22" i="11"/>
  <c r="C22" i="11" s="1"/>
  <c r="E22" i="11" s="1"/>
  <c r="G22" i="11" s="1"/>
  <c r="I22" i="11" s="1"/>
  <c r="K22" i="11" s="1"/>
  <c r="M22" i="11" s="1"/>
  <c r="A30" i="11" s="1"/>
  <c r="C30" i="11" s="1"/>
  <c r="E30" i="11" s="1"/>
  <c r="G30" i="11" s="1"/>
  <c r="I30" i="11" s="1"/>
  <c r="K30" i="11" s="1"/>
  <c r="M30" i="11" s="1"/>
  <c r="A38" i="11" s="1"/>
  <c r="C38" i="11" s="1"/>
  <c r="E38" i="11" s="1"/>
  <c r="G38" i="11" s="1"/>
  <c r="I38" i="11" s="1"/>
  <c r="K38" i="11" s="1"/>
  <c r="M38" i="11" s="1"/>
  <c r="A46" i="11" s="1"/>
  <c r="C46" i="11" s="1"/>
  <c r="M5" i="41"/>
  <c r="A22" i="41"/>
  <c r="C22" i="41" s="1"/>
  <c r="E22" i="41" s="1"/>
  <c r="G22" i="41" s="1"/>
  <c r="I22" i="41" s="1"/>
  <c r="K22" i="41" s="1"/>
  <c r="M22" i="41" s="1"/>
  <c r="A30" i="41" s="1"/>
  <c r="C30" i="41" s="1"/>
  <c r="E30" i="41" s="1"/>
  <c r="G30" i="41" s="1"/>
  <c r="I30" i="41" s="1"/>
  <c r="K30" i="41" s="1"/>
  <c r="M30" i="41" s="1"/>
  <c r="A38" i="41" s="1"/>
  <c r="C38" i="41" s="1"/>
  <c r="E38" i="41" s="1"/>
  <c r="G38" i="41" s="1"/>
  <c r="I38" i="41" s="1"/>
  <c r="K38" i="41" s="1"/>
  <c r="M38" i="41" s="1"/>
  <c r="A46" i="41" s="1"/>
  <c r="C46" i="41" s="1"/>
  <c r="M5" i="44"/>
  <c r="A22" i="44"/>
  <c r="C22" i="44" s="1"/>
  <c r="E22" i="44" s="1"/>
  <c r="G22" i="44" s="1"/>
  <c r="I22" i="44" s="1"/>
  <c r="K22" i="44" s="1"/>
  <c r="M22" i="44" s="1"/>
  <c r="A30" i="44" s="1"/>
  <c r="C30" i="44" s="1"/>
  <c r="E30" i="44" s="1"/>
  <c r="G30" i="44" s="1"/>
  <c r="I30" i="44" s="1"/>
  <c r="K30" i="44" s="1"/>
  <c r="M30" i="44" s="1"/>
  <c r="A38" i="44" s="1"/>
  <c r="C38" i="44" s="1"/>
  <c r="E38" i="44" s="1"/>
  <c r="G38" i="44" s="1"/>
  <c r="I38" i="44" s="1"/>
  <c r="K38" i="44" s="1"/>
  <c r="M38" i="44" s="1"/>
  <c r="A46" i="44" s="1"/>
  <c r="C46" i="44" s="1"/>
  <c r="M5" i="37"/>
  <c r="A22" i="37"/>
  <c r="C22" i="37" s="1"/>
  <c r="E22" i="37" s="1"/>
  <c r="G22" i="37" s="1"/>
  <c r="I22" i="37" s="1"/>
  <c r="K22" i="37" s="1"/>
  <c r="M22" i="37" s="1"/>
  <c r="A30" i="37" s="1"/>
  <c r="C30" i="37" s="1"/>
  <c r="E30" i="37" s="1"/>
  <c r="G30" i="37" s="1"/>
  <c r="I30" i="37" s="1"/>
  <c r="K30" i="37" s="1"/>
  <c r="M30" i="37" s="1"/>
  <c r="A38" i="37" s="1"/>
  <c r="C38" i="37" s="1"/>
  <c r="E38" i="37" s="1"/>
  <c r="G38" i="37" s="1"/>
  <c r="I38" i="37" s="1"/>
  <c r="K38" i="37" s="1"/>
  <c r="M38" i="37" s="1"/>
  <c r="A46" i="37" s="1"/>
  <c r="C46" i="37" s="1"/>
  <c r="M5" i="40"/>
  <c r="A22" i="40"/>
  <c r="C22" i="40" s="1"/>
  <c r="E22" i="40" s="1"/>
  <c r="G22" i="40" s="1"/>
  <c r="I22" i="40" s="1"/>
  <c r="K22" i="40" s="1"/>
  <c r="M22" i="40" s="1"/>
  <c r="A30" i="40" s="1"/>
  <c r="C30" i="40" s="1"/>
  <c r="E30" i="40" s="1"/>
  <c r="G30" i="40" s="1"/>
  <c r="I30" i="40" s="1"/>
  <c r="K30" i="40" s="1"/>
  <c r="M30" i="40" s="1"/>
  <c r="A38" i="40" s="1"/>
  <c r="C38" i="40" s="1"/>
  <c r="E38" i="40" s="1"/>
  <c r="G38" i="40" s="1"/>
  <c r="I38" i="40" s="1"/>
  <c r="K38" i="40" s="1"/>
  <c r="M38" i="40" s="1"/>
  <c r="A46" i="40" s="1"/>
  <c r="C46" i="40" s="1"/>
  <c r="A22" i="45"/>
  <c r="C22" i="45" s="1"/>
  <c r="E22" i="45" s="1"/>
  <c r="G22" i="45" s="1"/>
  <c r="I22" i="45" s="1"/>
  <c r="K22" i="45" s="1"/>
  <c r="M22" i="45" s="1"/>
  <c r="A30" i="45" s="1"/>
  <c r="C30" i="45" s="1"/>
  <c r="E30" i="45" s="1"/>
  <c r="G30" i="45" s="1"/>
  <c r="I30" i="45" s="1"/>
  <c r="K30" i="45" s="1"/>
  <c r="M30" i="45" s="1"/>
  <c r="A38" i="45" s="1"/>
  <c r="C38" i="45" s="1"/>
  <c r="E38" i="45" s="1"/>
  <c r="G38" i="45" s="1"/>
  <c r="I38" i="45" s="1"/>
  <c r="K38" i="45" s="1"/>
  <c r="M38" i="45" s="1"/>
  <c r="A46" i="45" s="1"/>
  <c r="C46" i="45" s="1"/>
  <c r="M5" i="45"/>
  <c r="M5" i="12"/>
  <c r="A22" i="12"/>
  <c r="C22" i="12" s="1"/>
  <c r="E22" i="12" s="1"/>
  <c r="G22" i="12" s="1"/>
  <c r="I22" i="12" s="1"/>
  <c r="K22" i="12" s="1"/>
  <c r="M22" i="12" s="1"/>
  <c r="A30" i="12" s="1"/>
  <c r="C30" i="12" s="1"/>
  <c r="E30" i="12" s="1"/>
  <c r="G30" i="12" s="1"/>
  <c r="I30" i="12" s="1"/>
  <c r="K30" i="12" s="1"/>
  <c r="M30" i="12" s="1"/>
  <c r="A38" i="12" s="1"/>
  <c r="C38" i="12" s="1"/>
  <c r="E38" i="12" s="1"/>
  <c r="G38" i="12" s="1"/>
  <c r="I38" i="12" s="1"/>
  <c r="K38" i="12" s="1"/>
  <c r="M38" i="12" s="1"/>
  <c r="A46" i="12" s="1"/>
  <c r="C46" i="12" s="1"/>
  <c r="M5" i="42"/>
  <c r="A22" i="42"/>
  <c r="C22" i="42" s="1"/>
  <c r="E22" i="42" s="1"/>
  <c r="G22" i="42" s="1"/>
  <c r="I22" i="42" s="1"/>
  <c r="K22" i="42" s="1"/>
  <c r="M22" i="42" s="1"/>
  <c r="A30" i="42" s="1"/>
  <c r="C30" i="42" s="1"/>
  <c r="E30" i="42" s="1"/>
  <c r="G30" i="42" s="1"/>
  <c r="I30" i="42" s="1"/>
  <c r="K30" i="42" s="1"/>
  <c r="M30" i="42" s="1"/>
  <c r="A38" i="42" s="1"/>
  <c r="C38" i="42" s="1"/>
  <c r="E38" i="42" s="1"/>
  <c r="G38" i="42" s="1"/>
  <c r="I38" i="42" s="1"/>
  <c r="K38" i="42" s="1"/>
  <c r="M38" i="42" s="1"/>
  <c r="A46" i="42" s="1"/>
  <c r="C46" i="42" s="1"/>
  <c r="M14" i="38"/>
  <c r="K5" i="38"/>
  <c r="M14" i="5"/>
  <c r="K5" i="5"/>
  <c r="A22" i="6"/>
  <c r="C22" i="6" s="1"/>
  <c r="E22" i="6" s="1"/>
  <c r="G22" i="6" s="1"/>
  <c r="I22" i="6" s="1"/>
  <c r="K22" i="6" s="1"/>
  <c r="M22" i="6" s="1"/>
  <c r="A30" i="6" s="1"/>
  <c r="C30" i="6" s="1"/>
  <c r="E30" i="6" s="1"/>
  <c r="G30" i="6" s="1"/>
  <c r="I30" i="6" s="1"/>
  <c r="K30" i="6" s="1"/>
  <c r="M30" i="6" s="1"/>
  <c r="A38" i="6" s="1"/>
  <c r="C38" i="6" s="1"/>
  <c r="E38" i="6" s="1"/>
  <c r="G38" i="6" s="1"/>
  <c r="I38" i="6" s="1"/>
  <c r="K38" i="6" s="1"/>
  <c r="M38" i="6" s="1"/>
  <c r="A46" i="6" s="1"/>
  <c r="C46" i="6" s="1"/>
  <c r="M5" i="6"/>
  <c r="M5" i="10" l="1"/>
  <c r="A22" i="10"/>
  <c r="C22" i="10" s="1"/>
  <c r="E22" i="10" s="1"/>
  <c r="G22" i="10" s="1"/>
  <c r="I22" i="10" s="1"/>
  <c r="K22" i="10" s="1"/>
  <c r="M22" i="10" s="1"/>
  <c r="A30" i="10" s="1"/>
  <c r="C30" i="10" s="1"/>
  <c r="E30" i="10" s="1"/>
  <c r="G30" i="10" s="1"/>
  <c r="I30" i="10" s="1"/>
  <c r="K30" i="10" s="1"/>
  <c r="M30" i="10" s="1"/>
  <c r="A38" i="10" s="1"/>
  <c r="C38" i="10" s="1"/>
  <c r="E38" i="10" s="1"/>
  <c r="G38" i="10" s="1"/>
  <c r="I38" i="10" s="1"/>
  <c r="K38" i="10" s="1"/>
  <c r="M38" i="10" s="1"/>
  <c r="A46" i="10" s="1"/>
  <c r="C46" i="10" s="1"/>
  <c r="A22" i="38"/>
  <c r="C22" i="38" s="1"/>
  <c r="E22" i="38" s="1"/>
  <c r="G22" i="38" s="1"/>
  <c r="I22" i="38" s="1"/>
  <c r="K22" i="38" s="1"/>
  <c r="M22" i="38" s="1"/>
  <c r="A30" i="38" s="1"/>
  <c r="C30" i="38" s="1"/>
  <c r="E30" i="38" s="1"/>
  <c r="G30" i="38" s="1"/>
  <c r="I30" i="38" s="1"/>
  <c r="K30" i="38" s="1"/>
  <c r="M30" i="38" s="1"/>
  <c r="A38" i="38" s="1"/>
  <c r="C38" i="38" s="1"/>
  <c r="E38" i="38" s="1"/>
  <c r="G38" i="38" s="1"/>
  <c r="I38" i="38" s="1"/>
  <c r="K38" i="38" s="1"/>
  <c r="M38" i="38" s="1"/>
  <c r="A46" i="38" s="1"/>
  <c r="C46" i="38" s="1"/>
  <c r="M5" i="38"/>
  <c r="M5" i="24"/>
  <c r="M5" i="5"/>
  <c r="A22" i="5"/>
  <c r="C22" i="5" s="1"/>
  <c r="E22" i="5" s="1"/>
  <c r="G22" i="5" s="1"/>
  <c r="I22" i="5" s="1"/>
  <c r="K22" i="5" s="1"/>
  <c r="M22" i="5" s="1"/>
  <c r="A30" i="5" s="1"/>
  <c r="C30" i="5" s="1"/>
  <c r="E30" i="5" s="1"/>
  <c r="G30" i="5" s="1"/>
  <c r="I30" i="5" s="1"/>
  <c r="K30" i="5" s="1"/>
  <c r="M30" i="5" s="1"/>
  <c r="A38" i="5" s="1"/>
  <c r="C38" i="5" s="1"/>
  <c r="E38" i="5" s="1"/>
  <c r="G38" i="5" s="1"/>
  <c r="I38" i="5" s="1"/>
  <c r="K38" i="5" s="1"/>
  <c r="M38" i="5" s="1"/>
  <c r="A46" i="5" s="1"/>
  <c r="C46" i="5" s="1"/>
</calcChain>
</file>

<file path=xl/sharedStrings.xml><?xml version="1.0" encoding="utf-8"?>
<sst xmlns="http://schemas.openxmlformats.org/spreadsheetml/2006/main" count="6030" uniqueCount="265">
  <si>
    <t>(c) 2011 Vertex42 LLC</t>
  </si>
  <si>
    <t>Neurology Call Schedule</t>
  </si>
  <si>
    <t>ULH Stroke</t>
  </si>
  <si>
    <t>ULH General</t>
  </si>
  <si>
    <t>Jewish</t>
  </si>
  <si>
    <t>IR</t>
  </si>
  <si>
    <t>EMU</t>
  </si>
  <si>
    <t>Jasper/TRH/JS</t>
  </si>
  <si>
    <t>Good Sam</t>
  </si>
  <si>
    <t>Ander</t>
  </si>
  <si>
    <t>Remmel/Haboubi</t>
  </si>
  <si>
    <t>Remmel</t>
  </si>
  <si>
    <t>Holiday</t>
  </si>
  <si>
    <t>Sagi</t>
  </si>
  <si>
    <t>Sagi/Remmel</t>
  </si>
  <si>
    <t>Ding</t>
  </si>
  <si>
    <t>Shafer</t>
  </si>
  <si>
    <t>Betsy</t>
  </si>
  <si>
    <t>Kari (Night All)</t>
  </si>
  <si>
    <t>Kari (All New)</t>
  </si>
  <si>
    <t>Haboubi (All)</t>
  </si>
  <si>
    <t xml:space="preserve">Haboubi </t>
  </si>
  <si>
    <t>Notes:</t>
  </si>
  <si>
    <t>© 2011-2019 by Vertex42.com. Free to print.</t>
  </si>
  <si>
    <t>Liu</t>
  </si>
  <si>
    <t>Palade</t>
  </si>
  <si>
    <t>Kari</t>
  </si>
  <si>
    <t>Kari (Night)</t>
  </si>
  <si>
    <t>Betsy (Night)</t>
  </si>
  <si>
    <t>Pham (Night)</t>
  </si>
  <si>
    <t>Pham</t>
  </si>
  <si>
    <t>Ander/Remmel</t>
  </si>
  <si>
    <t>Nord/Ander</t>
  </si>
  <si>
    <t>Betsy/Kari (Night)</t>
  </si>
  <si>
    <t>Nancy</t>
  </si>
  <si>
    <t>Nancy/Marwa (Night)</t>
  </si>
  <si>
    <t>Betsy (All New)</t>
  </si>
  <si>
    <t>Marwa (All New)</t>
  </si>
  <si>
    <t>Feng</t>
  </si>
  <si>
    <t>Remmel/Ander</t>
  </si>
  <si>
    <t>Hernandez</t>
  </si>
  <si>
    <t>Pham (All New)</t>
  </si>
  <si>
    <t>Robertson</t>
  </si>
  <si>
    <t>Evans</t>
  </si>
  <si>
    <t>Kari/Betsy (Night)</t>
  </si>
  <si>
    <t>Ander/Ander</t>
  </si>
  <si>
    <t>Shafer-March 27, 28, 29, 30, 31</t>
  </si>
  <si>
    <t>Hedera-March 16-19</t>
  </si>
  <si>
    <t>Wang-15-18</t>
  </si>
  <si>
    <t>Haboubi/Remmel</t>
  </si>
  <si>
    <t>Haboubi</t>
  </si>
  <si>
    <t>Wang</t>
  </si>
  <si>
    <t>Haboubi/Ander</t>
  </si>
  <si>
    <t>Ander/Haboubi</t>
  </si>
  <si>
    <t>Hedera</t>
  </si>
  <si>
    <t>Sagi/Ander</t>
  </si>
  <si>
    <t>Pham/Elnazeir Night</t>
  </si>
  <si>
    <t>Elnazeir (AllNew)</t>
  </si>
  <si>
    <t>Elnazeir (All New)</t>
  </si>
  <si>
    <t>Brown</t>
  </si>
  <si>
    <t>Nord</t>
  </si>
  <si>
    <t>Haboubi (night)</t>
  </si>
  <si>
    <t>Nord/Remmel</t>
  </si>
  <si>
    <t>Haboubi (Night)</t>
  </si>
  <si>
    <t>Haboubi/Elnazeir Night</t>
  </si>
  <si>
    <t>Shafer-April 1, 2, 3</t>
  </si>
  <si>
    <t>Sagi- April 24, 25, 26, 27, 28, 29, 30</t>
  </si>
  <si>
    <t>Pham- April 19-23</t>
  </si>
  <si>
    <t>Palade-17-23</t>
  </si>
  <si>
    <t>Brown-April 8-12</t>
  </si>
  <si>
    <t>Betsy (All New</t>
  </si>
  <si>
    <t xml:space="preserve">Kari </t>
  </si>
  <si>
    <r>
      <rPr>
        <sz val="10"/>
        <color rgb="FF000000"/>
        <rFont val="times new roman,serif"/>
      </rPr>
      <t>Haboubi/Elnazier (Night</t>
    </r>
    <r>
      <rPr>
        <sz val="11"/>
        <color rgb="FF000000"/>
        <rFont val="times new roman,serif"/>
      </rPr>
      <t>)</t>
    </r>
  </si>
  <si>
    <t>Elnazier (All New)</t>
  </si>
  <si>
    <t>Haboubi (All New)</t>
  </si>
  <si>
    <t>Remmel/Remmel</t>
  </si>
  <si>
    <t>Elnazeir</t>
  </si>
  <si>
    <t xml:space="preserve">Pham </t>
  </si>
  <si>
    <t>Haboubi/Haboubi</t>
  </si>
  <si>
    <t>Shafer (May 28)</t>
  </si>
  <si>
    <t>Sagi-May 1,2, 17,18,19,20, 21, 22, 23</t>
  </si>
  <si>
    <t>Pham/Elnazeir (Night)</t>
  </si>
  <si>
    <t>Hernandez/Remmel</t>
  </si>
  <si>
    <t>Remmel/Liu</t>
  </si>
  <si>
    <t xml:space="preserve">Betsy </t>
  </si>
  <si>
    <t>Liu/Ander</t>
  </si>
  <si>
    <t>Sagi-June 7-30</t>
  </si>
  <si>
    <t>Liu-June 28th-30th</t>
  </si>
  <si>
    <t>Hernandez/Haboubi</t>
  </si>
  <si>
    <t>Abecassis</t>
  </si>
  <si>
    <t>Pham (All new)</t>
  </si>
  <si>
    <t>Ander/Remmel-3pm</t>
  </si>
  <si>
    <t>Ander/Liu</t>
  </si>
  <si>
    <t>Haboubi/Liu</t>
  </si>
  <si>
    <t>Palade- 26-30, Pham 19-23, Haboubi-12-14, Ander-15-18</t>
  </si>
  <si>
    <t>Liu-July 1-13</t>
  </si>
  <si>
    <t>Remmel-July 2-5</t>
  </si>
  <si>
    <t>Kari (night)</t>
  </si>
  <si>
    <t>Betsy/Marwa</t>
  </si>
  <si>
    <t>Haboubi (Haboubi)</t>
  </si>
  <si>
    <t>Elnazeir/Ander</t>
  </si>
  <si>
    <t>Betsy /Marwa</t>
  </si>
  <si>
    <t>Holiday-August 9-15</t>
  </si>
  <si>
    <t>Sagi-August 5-8</t>
  </si>
  <si>
    <t>Remmel-August 5, August 27</t>
  </si>
  <si>
    <t>Liu/Remmel</t>
  </si>
  <si>
    <t>Betsy /Kari night</t>
  </si>
  <si>
    <t>Betsy (night)</t>
  </si>
  <si>
    <t>Betsy (All new)</t>
  </si>
  <si>
    <t>Shafer-September 27-30, Ander-September 7-12, Robertson- 29, 30, Hedera-14</t>
  </si>
  <si>
    <t>Remmel-September 22-27</t>
  </si>
  <si>
    <t>Pham 13-17</t>
  </si>
  <si>
    <t>Sagi/Haboubi</t>
  </si>
  <si>
    <t xml:space="preserve"> Kari (Night)</t>
  </si>
  <si>
    <t>Kari (All New Day)</t>
  </si>
  <si>
    <t>Hernandez/Ander</t>
  </si>
  <si>
    <t xml:space="preserve"> Haboubi (Night)</t>
  </si>
  <si>
    <t>Haboubi/Elnazeir (Night)</t>
  </si>
  <si>
    <t>Elnazeir/Remmel</t>
  </si>
  <si>
    <t>Pham-1-6, Wang-4-13, Betsy 1-8, Sowell-10/15, 10/29- 11/1</t>
  </si>
  <si>
    <t>Robertson-25-29</t>
  </si>
  <si>
    <t>Robertson-11</t>
  </si>
  <si>
    <t xml:space="preserve">  </t>
  </si>
  <si>
    <t>Betsy/Marwa (night)</t>
  </si>
  <si>
    <t>Betsy/Marwa (Night)</t>
  </si>
  <si>
    <t>Haboubi/Elnazeir</t>
  </si>
  <si>
    <t>Betsy/Kari (night)</t>
  </si>
  <si>
    <t>Betsy/Jones (Night)</t>
  </si>
  <si>
    <t>Nancy Ashley</t>
  </si>
  <si>
    <t>Pham/Haboubi (Night)</t>
  </si>
  <si>
    <t>Jones (All New)</t>
  </si>
  <si>
    <t>Liu/Elnazeir</t>
  </si>
  <si>
    <t>Robertson-15, Hernandez-18-30</t>
  </si>
  <si>
    <t>Kari/Betsy Conference</t>
  </si>
  <si>
    <t>Pham-22-25</t>
  </si>
  <si>
    <t>Liu/Haboubi</t>
  </si>
  <si>
    <t>Liu/Haboubi?</t>
  </si>
  <si>
    <t>Kari (All)</t>
  </si>
  <si>
    <t>Betsy (All)</t>
  </si>
  <si>
    <t>Jones (Night)</t>
  </si>
  <si>
    <t xml:space="preserve">Jones </t>
  </si>
  <si>
    <t>Jones</t>
  </si>
  <si>
    <t>Marwa</t>
  </si>
  <si>
    <t>Haboubi/Jones (night)</t>
  </si>
  <si>
    <t>Jones (All New)/Haboubi night</t>
  </si>
  <si>
    <t>Ander/Elnazeir</t>
  </si>
  <si>
    <t>Pham (All)</t>
  </si>
  <si>
    <t>Shafer-20-26, Hernandez- 1-10, Palade 27-31</t>
  </si>
  <si>
    <t>Sagi-Dec. 28-January 2</t>
  </si>
  <si>
    <t>Sowell-24th-January 3</t>
  </si>
  <si>
    <t>Remmel/Marwa</t>
  </si>
  <si>
    <t>Jones (All new)</t>
  </si>
  <si>
    <t>Haboubi (All new)</t>
  </si>
  <si>
    <t>Kari (All new)</t>
  </si>
  <si>
    <t>Haboubi (all new)</t>
  </si>
  <si>
    <t>Pham(Night)</t>
  </si>
  <si>
    <t>Pham (all new)</t>
  </si>
  <si>
    <t>Haboubi/Marwa</t>
  </si>
  <si>
    <t>Ander/Marwa</t>
  </si>
  <si>
    <t>Pham/Jones (all new-night)</t>
  </si>
  <si>
    <t>Jones (all new)</t>
  </si>
  <si>
    <t>Kari (all new)</t>
  </si>
  <si>
    <t>Betsy (all new)</t>
  </si>
  <si>
    <t>Haboubi/Jones (Night)</t>
  </si>
  <si>
    <t>Holiday-3-7, Palade- 1-2</t>
  </si>
  <si>
    <t>Sagi-January 1-30</t>
  </si>
  <si>
    <t>Child Neurology Call Schedule</t>
  </si>
  <si>
    <t>General</t>
  </si>
  <si>
    <t>ICU</t>
  </si>
  <si>
    <t>CEEG/LTM EEG Reader</t>
  </si>
  <si>
    <t>EMU 1/Surgery/1st 5 Admission at NCH</t>
  </si>
  <si>
    <t>EMU2/Remaining NCH EMU patients/NWC EMU Patients</t>
  </si>
  <si>
    <t>Out of Office Clinic</t>
  </si>
  <si>
    <t>P2P</t>
  </si>
  <si>
    <t>Lakhotia</t>
  </si>
  <si>
    <t>Marshall</t>
  </si>
  <si>
    <t>Shoup</t>
  </si>
  <si>
    <t>Karia</t>
  </si>
  <si>
    <t>Means</t>
  </si>
  <si>
    <t>Ravishankar</t>
  </si>
  <si>
    <t>Patel</t>
  </si>
  <si>
    <t>Raichur</t>
  </si>
  <si>
    <t>Danieli</t>
  </si>
  <si>
    <t>Lechtefeld</t>
  </si>
  <si>
    <t>Lechtefeld/Raichur</t>
  </si>
  <si>
    <t>Hocker</t>
  </si>
  <si>
    <t>Doll</t>
  </si>
  <si>
    <t>Clements</t>
  </si>
  <si>
    <t>Farber</t>
  </si>
  <si>
    <t>Sah</t>
  </si>
  <si>
    <t>Benton</t>
  </si>
  <si>
    <t>Rozena</t>
  </si>
  <si>
    <t>Lichtefeld</t>
  </si>
  <si>
    <t>Danieli/Hey</t>
  </si>
  <si>
    <t>Brock</t>
  </si>
  <si>
    <t>Barnes</t>
  </si>
  <si>
    <t>Rogers</t>
  </si>
  <si>
    <t>Ravishankar/Hey</t>
  </si>
  <si>
    <t>Tison-Brandon</t>
  </si>
  <si>
    <t>Barton</t>
  </si>
  <si>
    <t>4th of July</t>
  </si>
  <si>
    <t>Sweeney</t>
  </si>
  <si>
    <t>Jain</t>
  </si>
  <si>
    <t>Puri</t>
  </si>
  <si>
    <t>Puri(Farber 5p-10p)</t>
  </si>
  <si>
    <t>Singer</t>
  </si>
  <si>
    <t>Marashly</t>
  </si>
  <si>
    <t>Ray</t>
  </si>
  <si>
    <t>Labor Day</t>
  </si>
  <si>
    <t xml:space="preserve">Brock </t>
  </si>
  <si>
    <t>Chandler</t>
  </si>
  <si>
    <t>Halloween</t>
  </si>
  <si>
    <t>Puri / Evans PM</t>
  </si>
  <si>
    <t>Thanksgiving</t>
  </si>
  <si>
    <t>Christmas</t>
  </si>
  <si>
    <t>New Years</t>
  </si>
  <si>
    <t>MLK</t>
  </si>
  <si>
    <t>Memorial Day</t>
  </si>
  <si>
    <t>Nord/Haboubi</t>
  </si>
  <si>
    <t>Betsy (Betsy)</t>
  </si>
  <si>
    <t xml:space="preserve">Kari (Night) </t>
  </si>
  <si>
    <t>Robertston</t>
  </si>
  <si>
    <t>Betsy 7a-5P, Kari 5p-7a</t>
  </si>
  <si>
    <t>Sagi-January 4/5</t>
  </si>
  <si>
    <t>Betsy 7a-5p, Kari 5p-7a</t>
  </si>
  <si>
    <t>By Vertex42.com</t>
  </si>
  <si>
    <t>https://www.vertex42.com/calendars/academic-calendar.html</t>
  </si>
  <si>
    <t>© 2011-2019 Vertex42 LLC</t>
  </si>
  <si>
    <t>Do not submit copies or modifications of this template to any website or online template gallery.</t>
  </si>
  <si>
    <t>Please review the following license agreement to learn how you may or may not use this template. Thank you.</t>
  </si>
  <si>
    <t>License Agreement</t>
  </si>
  <si>
    <t>START MONTH</t>
  </si>
  <si>
    <t>START DAY (1:Sun, 2:Mon, etc.)</t>
  </si>
  <si>
    <t>Kari (All Night)</t>
  </si>
  <si>
    <t>Kiu</t>
  </si>
  <si>
    <t>Betsy (Night All)</t>
  </si>
  <si>
    <t>Pham (Night All)</t>
  </si>
  <si>
    <t>Haboubi (Night All)</t>
  </si>
  <si>
    <t>Betsy, Kari (Night All)</t>
  </si>
  <si>
    <t>Kari-Night</t>
  </si>
  <si>
    <t>Betsy-Night</t>
  </si>
  <si>
    <t>Pham-Night</t>
  </si>
  <si>
    <t>Haboubi-Night</t>
  </si>
  <si>
    <t>Hernandez/Liu</t>
  </si>
  <si>
    <t>Kari/Betsy-Night</t>
  </si>
  <si>
    <t>Betsy/Kari-Night</t>
  </si>
  <si>
    <t>Ander (1-9, 21-23), Remmel (10-16), Pham (1,2), Wang (1), Betsy (?), Haboubi (3-6), Liu (1-9)</t>
  </si>
  <si>
    <t>Betsy, Kari Night</t>
  </si>
  <si>
    <t>Nord /Haboubi</t>
  </si>
  <si>
    <t>Haboubi/Night</t>
  </si>
  <si>
    <t>Betsy, Kari-Night</t>
  </si>
  <si>
    <t>Ander (4-7, 18-20), Robertson (9-12), Shafer (26-30), Wang (1-15), Brown (23-24), Brown (29-30)</t>
  </si>
  <si>
    <t>**See note below</t>
  </si>
  <si>
    <t>Pham/Remmel</t>
  </si>
  <si>
    <t>Haboubi-All</t>
  </si>
  <si>
    <t>Betsy(All)</t>
  </si>
  <si>
    <t>Ander (8-14), Remmel (24), Robertson (1,2,5,6), Shafer (1,2), Betsy (12-18), Robertson (3-10), Brown (1-2)</t>
  </si>
  <si>
    <t>Stroke Symposium on Friday, October 2. Pham will round at Jewish. Liu will hold stroke phone at ULH until the end of the conference (3 pm)</t>
  </si>
  <si>
    <t>Haboubi will round at ULH after the conference</t>
  </si>
  <si>
    <t>Hernandez/Pham</t>
  </si>
  <si>
    <t>Remmel/Amder</t>
  </si>
  <si>
    <t>Ander (3-8), Remmel   (26-28), Wang (24-25)</t>
  </si>
  <si>
    <t>Betsy/Pham (Night)</t>
  </si>
  <si>
    <t>Betsy (Kari Night)</t>
  </si>
  <si>
    <t>Betsy-7am-5pm Kari (night)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</si>
</sst>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d"/>
    <numFmt numFmtId="165" formatCode="d"/>
  </numFmts>
  <fonts count="20">
    <font>
      <sz val="10"/>
      <color rgb="FF000000"/>
      <name val="Arial"/>
    </font>
    <font>
      <sz val="8"/>
      <name val="Arial"/>
      <family val="2"/>
    </font>
    <font>
      <b/>
      <sz val="14"/>
      <color rgb="FF000000"/>
      <name val="Times New Roman"/>
      <family val="1"/>
    </font>
    <font>
      <sz val="11"/>
      <color rgb="FF000000"/>
      <name val="Times New Roman"/>
      <family val="1"/>
    </font>
    <font>
      <sz val="48"/>
      <color rgb="FF273359"/>
      <name val="Times New Roman"/>
      <family val="1"/>
    </font>
    <font>
      <sz val="10"/>
      <name val="Arial"/>
      <family val="2"/>
    </font>
    <font>
      <b/>
      <sz val="12"/>
      <color rgb="FFFFFFFF"/>
      <name val="Times New Roman"/>
      <family val="1"/>
    </font>
    <font>
      <sz val="8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9"/>
      <color rgb="FF000000"/>
      <name val="Times New Roman"/>
      <family val="1"/>
    </font>
    <font>
      <sz val="8"/>
      <color rgb="FF999999"/>
      <name val="Arial"/>
      <family val="2"/>
    </font>
    <font>
      <sz val="9"/>
      <color rgb="FF999999"/>
      <name val="Arial"/>
      <family val="2"/>
    </font>
    <font>
      <b/>
      <sz val="16"/>
      <color rgb="FF0000FF"/>
      <name val="Arial"/>
      <family val="2"/>
    </font>
    <font>
      <sz val="11"/>
      <name val="Arial"/>
      <family val="2"/>
    </font>
    <font>
      <u/>
      <sz val="10"/>
      <color rgb="FF0000FF"/>
      <name val="Arial"/>
      <family val="2"/>
    </font>
    <font>
      <b/>
      <sz val="11"/>
      <name val="Arial"/>
      <family val="2"/>
    </font>
    <font>
      <u/>
      <sz val="11"/>
      <color rgb="FF1155CC"/>
      <name val="Arial"/>
      <family val="2"/>
    </font>
    <font>
      <sz val="10"/>
      <color rgb="FF000000"/>
      <name val="times new roman,serif"/>
    </font>
    <font>
      <sz val="11"/>
      <color rgb="FF000000"/>
      <name val="times new roman,serif"/>
    </font>
  </fonts>
  <fills count="15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F9CB9C"/>
        <bgColor rgb="FFF9CB9C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273359"/>
        <bgColor rgb="FF273359"/>
      </patternFill>
    </fill>
    <fill>
      <patternFill patternType="solid">
        <fgColor rgb="FFE4E8F3"/>
        <bgColor rgb="FFE4E8F3"/>
      </patternFill>
    </fill>
    <fill>
      <patternFill patternType="solid">
        <fgColor rgb="FFB1F0C0"/>
        <bgColor rgb="FFB1F0C0"/>
      </patternFill>
    </fill>
    <fill>
      <patternFill patternType="solid">
        <fgColor rgb="FFEFEFEF"/>
        <bgColor rgb="FFEFEFEF"/>
      </patternFill>
    </fill>
    <fill>
      <patternFill patternType="solid">
        <fgColor rgb="FFFFE1FF"/>
        <bgColor rgb="FFF9CB9C"/>
      </patternFill>
    </fill>
    <fill>
      <patternFill patternType="solid">
        <fgColor rgb="FFFFE1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273359"/>
      </bottom>
      <diagonal/>
    </border>
    <border>
      <left style="thin">
        <color rgb="FF273359"/>
      </left>
      <right/>
      <top style="thin">
        <color rgb="FF273359"/>
      </top>
      <bottom style="thin">
        <color rgb="FF000000"/>
      </bottom>
      <diagonal/>
    </border>
    <border>
      <left/>
      <right/>
      <top style="thin">
        <color rgb="FF273359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165" fontId="2" fillId="0" borderId="4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165" fontId="2" fillId="10" borderId="4" xfId="0" applyNumberFormat="1" applyFont="1" applyFill="1" applyBorder="1" applyAlignment="1">
      <alignment horizontal="center" vertical="center"/>
    </xf>
    <xf numFmtId="0" fontId="7" fillId="10" borderId="5" xfId="0" applyFont="1" applyFill="1" applyBorder="1" applyAlignment="1">
      <alignment horizontal="left" vertical="center"/>
    </xf>
    <xf numFmtId="0" fontId="10" fillId="0" borderId="7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10" fillId="0" borderId="6" xfId="0" applyFont="1" applyBorder="1" applyAlignment="1">
      <alignment horizontal="left"/>
    </xf>
    <xf numFmtId="0" fontId="2" fillId="10" borderId="4" xfId="0" applyFont="1" applyFill="1" applyBorder="1" applyAlignment="1">
      <alignment horizontal="center" vertical="center"/>
    </xf>
    <xf numFmtId="0" fontId="13" fillId="12" borderId="0" xfId="0" applyFont="1" applyFill="1" applyAlignment="1">
      <alignment vertical="center" wrapText="1"/>
    </xf>
    <xf numFmtId="0" fontId="5" fillId="12" borderId="0" xfId="0" applyFont="1" applyFill="1" applyAlignment="1">
      <alignment vertical="center" wrapText="1"/>
    </xf>
    <xf numFmtId="0" fontId="14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17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horizontal="left" wrapText="1"/>
    </xf>
    <xf numFmtId="0" fontId="5" fillId="0" borderId="0" xfId="0" applyFont="1" applyAlignment="1">
      <alignment wrapText="1"/>
    </xf>
    <xf numFmtId="0" fontId="3" fillId="4" borderId="0" xfId="0" applyFont="1" applyFill="1" applyAlignment="1">
      <alignment horizontal="left" vertical="center"/>
    </xf>
    <xf numFmtId="0" fontId="5" fillId="0" borderId="6" xfId="0" applyFont="1" applyBorder="1" applyAlignment="1">
      <alignment wrapText="1"/>
    </xf>
    <xf numFmtId="0" fontId="3" fillId="5" borderId="0" xfId="0" applyFont="1" applyFill="1" applyAlignment="1">
      <alignment horizontal="left" vertical="center"/>
    </xf>
    <xf numFmtId="0" fontId="3" fillId="7" borderId="7" xfId="0" applyFont="1" applyFill="1" applyBorder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5" fillId="0" borderId="9" xfId="0" applyFont="1" applyBorder="1" applyAlignment="1">
      <alignment wrapText="1"/>
    </xf>
    <xf numFmtId="0" fontId="3" fillId="8" borderId="0" xfId="0" applyFont="1" applyFill="1" applyAlignment="1">
      <alignment horizontal="left" vertical="center"/>
    </xf>
    <xf numFmtId="0" fontId="3" fillId="3" borderId="7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5" borderId="7" xfId="0" applyFont="1" applyFill="1" applyBorder="1" applyAlignment="1">
      <alignment horizontal="left" vertical="center"/>
    </xf>
    <xf numFmtId="0" fontId="3" fillId="8" borderId="8" xfId="0" applyFont="1" applyFill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5" fillId="0" borderId="12" xfId="0" applyFont="1" applyBorder="1" applyAlignment="1">
      <alignment wrapText="1"/>
    </xf>
    <xf numFmtId="0" fontId="12" fillId="0" borderId="12" xfId="0" applyFont="1" applyBorder="1" applyAlignment="1">
      <alignment horizontal="right" vertical="center" wrapText="1"/>
    </xf>
    <xf numFmtId="0" fontId="3" fillId="4" borderId="7" xfId="0" applyFont="1" applyFill="1" applyBorder="1" applyAlignment="1">
      <alignment horizontal="left" vertical="center"/>
    </xf>
    <xf numFmtId="14" fontId="1" fillId="0" borderId="0" xfId="0" applyNumberFormat="1" applyFont="1" applyAlignment="1">
      <alignment horizontal="left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right" wrapText="1"/>
    </xf>
    <xf numFmtId="0" fontId="2" fillId="0" borderId="0" xfId="0" applyFont="1" applyAlignment="1">
      <alignment horizontal="left"/>
    </xf>
    <xf numFmtId="164" fontId="6" fillId="9" borderId="2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0" fontId="3" fillId="2" borderId="7" xfId="0" applyFont="1" applyFill="1" applyBorder="1" applyAlignment="1">
      <alignment horizontal="left" vertical="center"/>
    </xf>
    <xf numFmtId="0" fontId="10" fillId="0" borderId="7" xfId="0" applyFont="1" applyBorder="1" applyAlignment="1">
      <alignment horizontal="left"/>
    </xf>
    <xf numFmtId="0" fontId="8" fillId="0" borderId="10" xfId="0" applyFont="1" applyBorder="1" applyAlignment="1">
      <alignment horizontal="left" vertical="top"/>
    </xf>
    <xf numFmtId="0" fontId="5" fillId="0" borderId="11" xfId="0" applyFont="1" applyBorder="1" applyAlignment="1">
      <alignment wrapText="1"/>
    </xf>
    <xf numFmtId="0" fontId="9" fillId="0" borderId="11" xfId="0" applyFont="1" applyBorder="1" applyAlignment="1">
      <alignment horizontal="left"/>
    </xf>
    <xf numFmtId="0" fontId="5" fillId="0" borderId="5" xfId="0" applyFont="1" applyBorder="1" applyAlignment="1">
      <alignment wrapText="1"/>
    </xf>
    <xf numFmtId="0" fontId="3" fillId="13" borderId="0" xfId="0" applyFont="1" applyFill="1" applyAlignment="1">
      <alignment horizontal="left" vertical="center"/>
    </xf>
    <xf numFmtId="0" fontId="5" fillId="14" borderId="6" xfId="0" applyFont="1" applyFill="1" applyBorder="1" applyAlignment="1">
      <alignment wrapText="1"/>
    </xf>
    <xf numFmtId="14" fontId="2" fillId="0" borderId="0" xfId="0" applyNumberFormat="1" applyFont="1" applyAlignment="1">
      <alignment horizontal="left"/>
    </xf>
    <xf numFmtId="0" fontId="3" fillId="2" borderId="0" xfId="0" applyFont="1" applyFill="1" applyAlignment="1">
      <alignment horizontal="left" vertical="center" wrapText="1"/>
    </xf>
    <xf numFmtId="0" fontId="3" fillId="11" borderId="12" xfId="0" applyFont="1" applyFill="1" applyBorder="1" applyAlignment="1">
      <alignment wrapText="1"/>
    </xf>
    <xf numFmtId="0" fontId="3" fillId="5" borderId="6" xfId="0" applyFont="1" applyFill="1" applyBorder="1" applyAlignment="1">
      <alignment horizontal="left" vertical="center"/>
    </xf>
    <xf numFmtId="0" fontId="3" fillId="6" borderId="0" xfId="0" applyFont="1" applyFill="1" applyAlignment="1"/>
    <xf numFmtId="0" fontId="3" fillId="6" borderId="7" xfId="0" applyFont="1" applyFill="1" applyBorder="1" applyAlignment="1"/>
    <xf numFmtId="0" fontId="3" fillId="11" borderId="1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52525" cy="2476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www.vertex42.com/calendars/academic-calendar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N53"/>
  <sheetViews>
    <sheetView showGridLines="0" topLeftCell="A4" workbookViewId="0">
      <selection sqref="A1:B1"/>
    </sheetView>
  </sheetViews>
  <sheetFormatPr defaultColWidth="12.5703125" defaultRowHeight="12.75" customHeight="1"/>
  <cols>
    <col min="1" max="1" width="3.85546875" customWidth="1"/>
    <col min="2" max="2" width="13.42578125" customWidth="1"/>
    <col min="3" max="3" width="3.85546875" customWidth="1"/>
    <col min="4" max="4" width="13.42578125" customWidth="1"/>
    <col min="5" max="5" width="3.85546875" customWidth="1"/>
    <col min="6" max="6" width="13.42578125" customWidth="1"/>
    <col min="7" max="7" width="3.85546875" customWidth="1"/>
    <col min="8" max="8" width="13.42578125" customWidth="1"/>
    <col min="9" max="9" width="3.85546875" customWidth="1"/>
    <col min="10" max="10" width="13.42578125" customWidth="1"/>
    <col min="11" max="11" width="3.85546875" customWidth="1"/>
    <col min="12" max="12" width="13.42578125" customWidth="1"/>
    <col min="13" max="13" width="3.85546875" customWidth="1"/>
    <col min="14" max="14" width="13.42578125" customWidth="1"/>
  </cols>
  <sheetData>
    <row r="1" spans="1:14" ht="12.6" hidden="1">
      <c r="A1" s="36">
        <f>'©'!A17</f>
        <v>45108</v>
      </c>
      <c r="B1" s="37"/>
      <c r="C1" s="1"/>
      <c r="D1" s="1"/>
      <c r="E1" s="1"/>
      <c r="F1" s="1"/>
      <c r="G1" s="1"/>
      <c r="H1" s="1"/>
      <c r="I1" s="1"/>
      <c r="J1" s="1"/>
      <c r="K1" s="38" t="s">
        <v>0</v>
      </c>
      <c r="L1" s="37"/>
      <c r="M1" s="37"/>
      <c r="N1" s="37"/>
    </row>
    <row r="2" spans="1:14" ht="18" customHeight="1">
      <c r="A2" s="39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1:14" ht="18" customHeight="1">
      <c r="A3" s="29" t="s">
        <v>2</v>
      </c>
      <c r="B3" s="37"/>
      <c r="C3" s="27" t="s">
        <v>3</v>
      </c>
      <c r="D3" s="37"/>
      <c r="E3" s="19" t="s">
        <v>4</v>
      </c>
      <c r="F3" s="37"/>
      <c r="G3" s="21" t="s">
        <v>5</v>
      </c>
      <c r="H3" s="37"/>
      <c r="I3" s="56" t="s">
        <v>6</v>
      </c>
      <c r="J3" s="37"/>
      <c r="K3" s="23" t="s">
        <v>7</v>
      </c>
      <c r="L3" s="37"/>
      <c r="M3" s="25" t="s">
        <v>8</v>
      </c>
      <c r="N3" s="37"/>
    </row>
    <row r="4" spans="1:14" ht="60.75" customHeight="1">
      <c r="A4" s="42" t="str">
        <f>UPPER(TEXT(A1,"mmmm yyyy"))</f>
        <v>JULY 2023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</row>
    <row r="5" spans="1:14" ht="15" customHeight="1">
      <c r="A5" s="40">
        <f>A14</f>
        <v>45110</v>
      </c>
      <c r="B5" s="41"/>
      <c r="C5" s="40">
        <f>C14</f>
        <v>45111</v>
      </c>
      <c r="D5" s="41"/>
      <c r="E5" s="40">
        <f>E14</f>
        <v>45112</v>
      </c>
      <c r="F5" s="41"/>
      <c r="G5" s="40">
        <f>G14</f>
        <v>45113</v>
      </c>
      <c r="H5" s="41"/>
      <c r="I5" s="40">
        <f>I14</f>
        <v>45114</v>
      </c>
      <c r="J5" s="41"/>
      <c r="K5" s="40">
        <f>K14</f>
        <v>45115</v>
      </c>
      <c r="L5" s="41"/>
      <c r="M5" s="40">
        <f>M14</f>
        <v>45116</v>
      </c>
      <c r="N5" s="41"/>
    </row>
    <row r="6" spans="1:14" ht="18" customHeight="1">
      <c r="A6" s="2" t="str">
        <f>IF(WEEKDAY($A$1,1)=startday,$A$1,"")</f>
        <v/>
      </c>
      <c r="B6" s="3"/>
      <c r="C6" s="2" t="str">
        <f>IF(A6="",IF(WEEKDAY($A$1,1)=MOD(startday,7)+1,$A$1,""),A6+1)</f>
        <v/>
      </c>
      <c r="D6" s="3"/>
      <c r="E6" s="2" t="str">
        <f>IF(C6="",IF(WEEKDAY($A$1,1)=MOD(startday,7)+2,$A$1,""),C6+1)</f>
        <v/>
      </c>
      <c r="F6" s="3"/>
      <c r="G6" s="2" t="str">
        <f>IF(E6="",IF(WEEKDAY($A$1,1)=MOD(startday,7)+3,$A$1,""),E6+1)</f>
        <v/>
      </c>
      <c r="H6" s="3"/>
      <c r="I6" s="2" t="str">
        <f>IF(G6="",IF(WEEKDAY($A$1,1)=MOD(startday,7)+4,$A$1,""),G6+1)</f>
        <v/>
      </c>
      <c r="J6" s="3"/>
      <c r="K6" s="4">
        <f>IF(I6="",IF(WEEKDAY($A$1,1)=MOD(startday,7)+5,$A$1,""),I6+1)</f>
        <v>45108</v>
      </c>
      <c r="L6" s="5"/>
      <c r="M6" s="4">
        <f>IF(K6="",IF(WEEKDAY($A$1,1)=MOD(startday+5,7)+1,$A$1,""),K6+1)</f>
        <v>45109</v>
      </c>
      <c r="N6" s="5"/>
    </row>
    <row r="7" spans="1:14" ht="14.1">
      <c r="A7" s="29"/>
      <c r="B7" s="20"/>
      <c r="C7" s="44"/>
      <c r="D7" s="20"/>
      <c r="E7" s="29"/>
      <c r="F7" s="20"/>
      <c r="G7" s="44" t="s">
        <v>9</v>
      </c>
      <c r="H7" s="20"/>
      <c r="I7" s="44" t="s">
        <v>9</v>
      </c>
      <c r="J7" s="20"/>
      <c r="K7" s="44" t="s">
        <v>10</v>
      </c>
      <c r="L7" s="20"/>
      <c r="M7" s="44" t="s">
        <v>11</v>
      </c>
      <c r="N7" s="20"/>
    </row>
    <row r="8" spans="1:14" ht="14.1">
      <c r="A8" s="27"/>
      <c r="B8" s="20"/>
      <c r="C8" s="26"/>
      <c r="D8" s="20"/>
      <c r="E8" s="27"/>
      <c r="F8" s="20"/>
      <c r="G8" s="26" t="s">
        <v>12</v>
      </c>
      <c r="H8" s="20"/>
      <c r="I8" s="26" t="s">
        <v>12</v>
      </c>
      <c r="J8" s="20"/>
      <c r="K8" s="26" t="s">
        <v>12</v>
      </c>
      <c r="L8" s="20"/>
      <c r="M8" s="26" t="s">
        <v>12</v>
      </c>
      <c r="N8" s="20"/>
    </row>
    <row r="9" spans="1:14" ht="14.1">
      <c r="A9" s="19"/>
      <c r="B9" s="20"/>
      <c r="C9" s="35"/>
      <c r="D9" s="20"/>
      <c r="E9" s="19"/>
      <c r="F9" s="20"/>
      <c r="G9" s="35" t="s">
        <v>13</v>
      </c>
      <c r="H9" s="20"/>
      <c r="I9" s="35" t="s">
        <v>13</v>
      </c>
      <c r="J9" s="20"/>
      <c r="K9" s="35" t="s">
        <v>14</v>
      </c>
      <c r="L9" s="20"/>
      <c r="M9" s="35" t="s">
        <v>14</v>
      </c>
      <c r="N9" s="20"/>
    </row>
    <row r="10" spans="1:14" ht="14.1">
      <c r="A10" s="21"/>
      <c r="B10" s="20"/>
      <c r="C10" s="30"/>
      <c r="D10" s="20"/>
      <c r="E10" s="21"/>
      <c r="F10" s="20"/>
      <c r="G10" s="30" t="s">
        <v>15</v>
      </c>
      <c r="H10" s="20"/>
      <c r="I10" s="30" t="s">
        <v>15</v>
      </c>
      <c r="J10" s="20"/>
      <c r="K10" s="30" t="s">
        <v>15</v>
      </c>
      <c r="L10" s="20"/>
      <c r="M10" s="30" t="s">
        <v>15</v>
      </c>
      <c r="N10" s="20"/>
    </row>
    <row r="11" spans="1:14" ht="14.1">
      <c r="A11" s="56"/>
      <c r="B11" s="20"/>
      <c r="C11" s="57"/>
      <c r="D11" s="20"/>
      <c r="E11" s="56"/>
      <c r="F11" s="20"/>
      <c r="G11" s="57" t="s">
        <v>16</v>
      </c>
      <c r="H11" s="20"/>
      <c r="I11" s="57" t="s">
        <v>16</v>
      </c>
      <c r="J11" s="20"/>
      <c r="K11" s="57" t="s">
        <v>16</v>
      </c>
      <c r="L11" s="20"/>
      <c r="M11" s="57" t="s">
        <v>16</v>
      </c>
      <c r="N11" s="20"/>
    </row>
    <row r="12" spans="1:14" ht="14.1">
      <c r="A12" s="23"/>
      <c r="B12" s="20"/>
      <c r="C12" s="22"/>
      <c r="D12" s="20"/>
      <c r="E12" s="23"/>
      <c r="F12" s="20"/>
      <c r="G12" s="22" t="s">
        <v>17</v>
      </c>
      <c r="H12" s="20"/>
      <c r="I12" s="22" t="s">
        <v>18</v>
      </c>
      <c r="J12" s="20"/>
      <c r="K12" s="22" t="s">
        <v>18</v>
      </c>
      <c r="L12" s="20"/>
      <c r="M12" s="22" t="s">
        <v>19</v>
      </c>
      <c r="N12" s="20"/>
    </row>
    <row r="13" spans="1:14" ht="18" customHeight="1">
      <c r="A13" s="25"/>
      <c r="B13" s="20"/>
      <c r="C13" s="31"/>
      <c r="D13" s="24"/>
      <c r="E13" s="25"/>
      <c r="F13" s="20"/>
      <c r="G13" s="31" t="s">
        <v>20</v>
      </c>
      <c r="H13" s="24"/>
      <c r="I13" s="31" t="s">
        <v>21</v>
      </c>
      <c r="J13" s="24"/>
      <c r="K13" s="31" t="s">
        <v>21</v>
      </c>
      <c r="L13" s="24"/>
      <c r="M13" s="31" t="s">
        <v>21</v>
      </c>
      <c r="N13" s="24"/>
    </row>
    <row r="14" spans="1:14" ht="18" customHeight="1">
      <c r="A14" s="2">
        <f>M6+1</f>
        <v>45110</v>
      </c>
      <c r="B14" s="3"/>
      <c r="C14" s="2">
        <f>A14+1</f>
        <v>45111</v>
      </c>
      <c r="D14" s="3"/>
      <c r="E14" s="2">
        <f>C14+1</f>
        <v>45112</v>
      </c>
      <c r="F14" s="3"/>
      <c r="G14" s="2">
        <f>E14+1</f>
        <v>45113</v>
      </c>
      <c r="H14" s="3"/>
      <c r="I14" s="2">
        <f>G14+1</f>
        <v>45114</v>
      </c>
      <c r="J14" s="3"/>
      <c r="K14" s="4">
        <f>I14+1</f>
        <v>45115</v>
      </c>
      <c r="L14" s="5"/>
      <c r="M14" s="4">
        <f>K14+1</f>
        <v>45116</v>
      </c>
      <c r="N14" s="5"/>
    </row>
    <row r="15" spans="1:14" ht="14.1">
      <c r="A15" s="29"/>
      <c r="B15" s="20"/>
      <c r="C15" s="44"/>
      <c r="D15" s="20"/>
      <c r="E15" s="29"/>
      <c r="F15" s="20"/>
      <c r="G15" s="44"/>
      <c r="H15" s="20"/>
      <c r="I15" s="44"/>
      <c r="J15" s="20"/>
      <c r="K15" s="44"/>
      <c r="L15" s="20"/>
      <c r="M15" s="44"/>
      <c r="N15" s="20"/>
    </row>
    <row r="16" spans="1:14" ht="14.1">
      <c r="A16" s="27"/>
      <c r="B16" s="20"/>
      <c r="C16" s="26"/>
      <c r="D16" s="20"/>
      <c r="E16" s="27"/>
      <c r="F16" s="20"/>
      <c r="G16" s="26"/>
      <c r="H16" s="20"/>
      <c r="I16" s="26"/>
      <c r="J16" s="20"/>
      <c r="K16" s="26"/>
      <c r="L16" s="20"/>
      <c r="M16" s="26"/>
      <c r="N16" s="20"/>
    </row>
    <row r="17" spans="1:14" ht="14.1">
      <c r="A17" s="19"/>
      <c r="B17" s="20"/>
      <c r="C17" s="35"/>
      <c r="D17" s="20"/>
      <c r="E17" s="19"/>
      <c r="F17" s="20"/>
      <c r="G17" s="35"/>
      <c r="H17" s="20"/>
      <c r="I17" s="35"/>
      <c r="J17" s="20"/>
      <c r="K17" s="35"/>
      <c r="L17" s="20"/>
      <c r="M17" s="35"/>
      <c r="N17" s="20"/>
    </row>
    <row r="18" spans="1:14" ht="14.1">
      <c r="A18" s="21"/>
      <c r="B18" s="20"/>
      <c r="C18" s="30"/>
      <c r="D18" s="20"/>
      <c r="E18" s="21"/>
      <c r="F18" s="20"/>
      <c r="G18" s="30"/>
      <c r="H18" s="20"/>
      <c r="I18" s="30"/>
      <c r="J18" s="20"/>
      <c r="K18" s="30"/>
      <c r="L18" s="20"/>
      <c r="M18" s="30"/>
      <c r="N18" s="20"/>
    </row>
    <row r="19" spans="1:14" ht="14.1">
      <c r="A19" s="56"/>
      <c r="B19" s="20"/>
      <c r="C19" s="57"/>
      <c r="D19" s="20"/>
      <c r="E19" s="56"/>
      <c r="F19" s="20"/>
      <c r="G19" s="57"/>
      <c r="H19" s="20"/>
      <c r="I19" s="57"/>
      <c r="J19" s="20"/>
      <c r="K19" s="57"/>
      <c r="L19" s="20"/>
      <c r="M19" s="57"/>
      <c r="N19" s="20"/>
    </row>
    <row r="20" spans="1:14" ht="14.1">
      <c r="A20" s="23"/>
      <c r="B20" s="20"/>
      <c r="C20" s="22"/>
      <c r="D20" s="20"/>
      <c r="E20" s="23"/>
      <c r="F20" s="20"/>
      <c r="G20" s="22"/>
      <c r="H20" s="20"/>
      <c r="I20" s="22"/>
      <c r="J20" s="20"/>
      <c r="K20" s="22"/>
      <c r="L20" s="20"/>
      <c r="M20" s="22"/>
      <c r="N20" s="20"/>
    </row>
    <row r="21" spans="1:14" ht="18" customHeight="1">
      <c r="A21" s="25"/>
      <c r="B21" s="20"/>
      <c r="C21" s="31"/>
      <c r="D21" s="24"/>
      <c r="E21" s="25"/>
      <c r="F21" s="20"/>
      <c r="G21" s="31"/>
      <c r="H21" s="24"/>
      <c r="I21" s="31"/>
      <c r="J21" s="24"/>
      <c r="K21" s="31"/>
      <c r="L21" s="24"/>
      <c r="M21" s="31"/>
      <c r="N21" s="24"/>
    </row>
    <row r="22" spans="1:14" ht="18" customHeight="1">
      <c r="A22" s="2">
        <f>M14+1</f>
        <v>45117</v>
      </c>
      <c r="B22" s="3"/>
      <c r="C22" s="2">
        <f>A22+1</f>
        <v>45118</v>
      </c>
      <c r="D22" s="3"/>
      <c r="E22" s="2">
        <f>C22+1</f>
        <v>45119</v>
      </c>
      <c r="F22" s="3"/>
      <c r="G22" s="2">
        <f>E22+1</f>
        <v>45120</v>
      </c>
      <c r="H22" s="3"/>
      <c r="I22" s="2">
        <f>G22+1</f>
        <v>45121</v>
      </c>
      <c r="J22" s="3"/>
      <c r="K22" s="4">
        <f>I22+1</f>
        <v>45122</v>
      </c>
      <c r="L22" s="5"/>
      <c r="M22" s="4">
        <f>K22+1</f>
        <v>45123</v>
      </c>
      <c r="N22" s="5"/>
    </row>
    <row r="23" spans="1:14" ht="14.1">
      <c r="A23" s="29"/>
      <c r="B23" s="20"/>
      <c r="C23" s="44"/>
      <c r="D23" s="20"/>
      <c r="E23" s="29"/>
      <c r="F23" s="20"/>
      <c r="G23" s="44"/>
      <c r="H23" s="20"/>
      <c r="I23" s="44"/>
      <c r="J23" s="20"/>
      <c r="K23" s="44"/>
      <c r="L23" s="20"/>
      <c r="M23" s="44"/>
      <c r="N23" s="20"/>
    </row>
    <row r="24" spans="1:14" ht="14.1">
      <c r="A24" s="27"/>
      <c r="B24" s="20"/>
      <c r="C24" s="26"/>
      <c r="D24" s="20"/>
      <c r="E24" s="27"/>
      <c r="F24" s="20"/>
      <c r="G24" s="26"/>
      <c r="H24" s="20"/>
      <c r="I24" s="26"/>
      <c r="J24" s="20"/>
      <c r="K24" s="26"/>
      <c r="L24" s="20"/>
      <c r="M24" s="26"/>
      <c r="N24" s="20"/>
    </row>
    <row r="25" spans="1:14" ht="14.1">
      <c r="A25" s="19"/>
      <c r="B25" s="20"/>
      <c r="C25" s="35"/>
      <c r="D25" s="20"/>
      <c r="E25" s="19"/>
      <c r="F25" s="20"/>
      <c r="G25" s="35"/>
      <c r="H25" s="20"/>
      <c r="I25" s="35"/>
      <c r="J25" s="20"/>
      <c r="K25" s="35"/>
      <c r="L25" s="20"/>
      <c r="M25" s="35"/>
      <c r="N25" s="20"/>
    </row>
    <row r="26" spans="1:14" ht="14.1">
      <c r="A26" s="21"/>
      <c r="B26" s="20"/>
      <c r="C26" s="30"/>
      <c r="D26" s="20"/>
      <c r="E26" s="21"/>
      <c r="F26" s="20"/>
      <c r="G26" s="30"/>
      <c r="H26" s="20"/>
      <c r="I26" s="30"/>
      <c r="J26" s="20"/>
      <c r="K26" s="30"/>
      <c r="L26" s="20"/>
      <c r="M26" s="30"/>
      <c r="N26" s="20"/>
    </row>
    <row r="27" spans="1:14" ht="14.1">
      <c r="A27" s="56"/>
      <c r="B27" s="20"/>
      <c r="C27" s="57"/>
      <c r="D27" s="20"/>
      <c r="E27" s="56"/>
      <c r="F27" s="20"/>
      <c r="G27" s="57"/>
      <c r="H27" s="20"/>
      <c r="I27" s="57"/>
      <c r="J27" s="20"/>
      <c r="K27" s="57"/>
      <c r="L27" s="20"/>
      <c r="M27" s="57"/>
      <c r="N27" s="20"/>
    </row>
    <row r="28" spans="1:14" ht="14.1">
      <c r="A28" s="23"/>
      <c r="B28" s="20"/>
      <c r="C28" s="22"/>
      <c r="D28" s="20"/>
      <c r="E28" s="23"/>
      <c r="F28" s="20"/>
      <c r="G28" s="22"/>
      <c r="H28" s="20"/>
      <c r="I28" s="22"/>
      <c r="J28" s="20"/>
      <c r="K28" s="22"/>
      <c r="L28" s="20"/>
      <c r="M28" s="22"/>
      <c r="N28" s="20"/>
    </row>
    <row r="29" spans="1:14" ht="18" customHeight="1">
      <c r="A29" s="25"/>
      <c r="B29" s="20"/>
      <c r="C29" s="31"/>
      <c r="D29" s="24"/>
      <c r="E29" s="25"/>
      <c r="F29" s="20"/>
      <c r="G29" s="31"/>
      <c r="H29" s="24"/>
      <c r="I29" s="31"/>
      <c r="J29" s="24"/>
      <c r="K29" s="31"/>
      <c r="L29" s="24"/>
      <c r="M29" s="31"/>
      <c r="N29" s="24"/>
    </row>
    <row r="30" spans="1:14" ht="18" customHeight="1">
      <c r="A30" s="2">
        <f>M22+1</f>
        <v>45124</v>
      </c>
      <c r="B30" s="3"/>
      <c r="C30" s="2">
        <f>A30+1</f>
        <v>45125</v>
      </c>
      <c r="D30" s="3"/>
      <c r="E30" s="2">
        <f>C30+1</f>
        <v>45126</v>
      </c>
      <c r="F30" s="3"/>
      <c r="G30" s="2">
        <f>E30+1</f>
        <v>45127</v>
      </c>
      <c r="H30" s="3"/>
      <c r="I30" s="2">
        <f>G30+1</f>
        <v>45128</v>
      </c>
      <c r="J30" s="3"/>
      <c r="K30" s="4">
        <f>I30+1</f>
        <v>45129</v>
      </c>
      <c r="L30" s="5"/>
      <c r="M30" s="4">
        <f>K30+1</f>
        <v>45130</v>
      </c>
      <c r="N30" s="5"/>
    </row>
    <row r="31" spans="1:14" ht="14.1">
      <c r="A31" s="29"/>
      <c r="B31" s="20"/>
      <c r="C31" s="44"/>
      <c r="D31" s="20"/>
      <c r="E31" s="29"/>
      <c r="F31" s="20"/>
      <c r="G31" s="44"/>
      <c r="H31" s="20"/>
      <c r="I31" s="44"/>
      <c r="J31" s="20"/>
      <c r="K31" s="44"/>
      <c r="L31" s="20"/>
      <c r="M31" s="44"/>
      <c r="N31" s="20"/>
    </row>
    <row r="32" spans="1:14" ht="14.1">
      <c r="A32" s="27"/>
      <c r="B32" s="20"/>
      <c r="C32" s="26"/>
      <c r="D32" s="20"/>
      <c r="E32" s="27"/>
      <c r="F32" s="20"/>
      <c r="G32" s="26"/>
      <c r="H32" s="20"/>
      <c r="I32" s="26"/>
      <c r="J32" s="20"/>
      <c r="K32" s="26"/>
      <c r="L32" s="20"/>
      <c r="M32" s="26"/>
      <c r="N32" s="20"/>
    </row>
    <row r="33" spans="1:14" ht="14.1">
      <c r="A33" s="19"/>
      <c r="B33" s="20"/>
      <c r="C33" s="35"/>
      <c r="D33" s="20"/>
      <c r="E33" s="19"/>
      <c r="F33" s="20"/>
      <c r="G33" s="35"/>
      <c r="H33" s="20"/>
      <c r="I33" s="35"/>
      <c r="J33" s="20"/>
      <c r="K33" s="35"/>
      <c r="L33" s="20"/>
      <c r="M33" s="35"/>
      <c r="N33" s="20"/>
    </row>
    <row r="34" spans="1:14" ht="14.1">
      <c r="A34" s="21"/>
      <c r="B34" s="20"/>
      <c r="C34" s="30"/>
      <c r="D34" s="20"/>
      <c r="E34" s="21"/>
      <c r="F34" s="20"/>
      <c r="G34" s="30"/>
      <c r="H34" s="20"/>
      <c r="I34" s="30"/>
      <c r="J34" s="20"/>
      <c r="K34" s="30"/>
      <c r="L34" s="20"/>
      <c r="M34" s="30"/>
      <c r="N34" s="20"/>
    </row>
    <row r="35" spans="1:14" ht="14.1">
      <c r="A35" s="56"/>
      <c r="B35" s="20"/>
      <c r="C35" s="57"/>
      <c r="D35" s="20"/>
      <c r="E35" s="56"/>
      <c r="F35" s="20"/>
      <c r="G35" s="57"/>
      <c r="H35" s="20"/>
      <c r="I35" s="57"/>
      <c r="J35" s="20"/>
      <c r="K35" s="57"/>
      <c r="L35" s="20"/>
      <c r="M35" s="57"/>
      <c r="N35" s="20"/>
    </row>
    <row r="36" spans="1:14" ht="14.1">
      <c r="A36" s="23"/>
      <c r="B36" s="20"/>
      <c r="C36" s="22"/>
      <c r="D36" s="20"/>
      <c r="E36" s="23"/>
      <c r="F36" s="20"/>
      <c r="G36" s="22"/>
      <c r="H36" s="20"/>
      <c r="I36" s="22"/>
      <c r="J36" s="20"/>
      <c r="K36" s="22"/>
      <c r="L36" s="20"/>
      <c r="M36" s="22"/>
      <c r="N36" s="20"/>
    </row>
    <row r="37" spans="1:14" ht="18" customHeight="1">
      <c r="A37" s="25"/>
      <c r="B37" s="20"/>
      <c r="C37" s="31"/>
      <c r="D37" s="24"/>
      <c r="E37" s="25"/>
      <c r="F37" s="20"/>
      <c r="G37" s="31"/>
      <c r="H37" s="24"/>
      <c r="I37" s="31"/>
      <c r="J37" s="24"/>
      <c r="K37" s="31"/>
      <c r="L37" s="24"/>
      <c r="M37" s="31"/>
      <c r="N37" s="24"/>
    </row>
    <row r="38" spans="1:14" ht="18" customHeight="1">
      <c r="A38" s="2">
        <f>IF(M30="","",IF(MONTH(M30+1)&lt;&gt;MONTH($A$1),"",M30+1))</f>
        <v>45131</v>
      </c>
      <c r="B38" s="3"/>
      <c r="C38" s="2">
        <f>IF(A38="","",IF(MONTH(A38+1)&lt;&gt;MONTH($A$1),"",A38+1))</f>
        <v>45132</v>
      </c>
      <c r="D38" s="3"/>
      <c r="E38" s="2">
        <f>IF(C38="","",IF(MONTH(C38+1)&lt;&gt;MONTH($A$1),"",C38+1))</f>
        <v>45133</v>
      </c>
      <c r="F38" s="3"/>
      <c r="G38" s="2">
        <f>IF(E38="","",IF(MONTH(E38+1)&lt;&gt;MONTH($A$1),"",E38+1))</f>
        <v>45134</v>
      </c>
      <c r="H38" s="3"/>
      <c r="I38" s="2">
        <f>IF(G38="","",IF(MONTH(G38+1)&lt;&gt;MONTH($A$1),"",G38+1))</f>
        <v>45135</v>
      </c>
      <c r="J38" s="3"/>
      <c r="K38" s="4">
        <f>IF(I38="","",IF(MONTH(I38+1)&lt;&gt;MONTH($A$1),"",I38+1))</f>
        <v>45136</v>
      </c>
      <c r="L38" s="5"/>
      <c r="M38" s="4">
        <f>IF(K38="","",IF(MONTH(K38+1)&lt;&gt;MONTH($A$1),"",K38+1))</f>
        <v>45137</v>
      </c>
      <c r="N38" s="5"/>
    </row>
    <row r="39" spans="1:14" ht="14.1">
      <c r="A39" s="29"/>
      <c r="B39" s="20"/>
      <c r="C39" s="44"/>
      <c r="D39" s="20"/>
      <c r="E39" s="29"/>
      <c r="F39" s="20"/>
      <c r="G39" s="44"/>
      <c r="H39" s="20"/>
      <c r="I39" s="44"/>
      <c r="J39" s="20"/>
      <c r="K39" s="44"/>
      <c r="L39" s="20"/>
      <c r="M39" s="44"/>
      <c r="N39" s="20"/>
    </row>
    <row r="40" spans="1:14" ht="14.1">
      <c r="A40" s="27"/>
      <c r="B40" s="20"/>
      <c r="C40" s="26"/>
      <c r="D40" s="20"/>
      <c r="E40" s="27"/>
      <c r="F40" s="20"/>
      <c r="G40" s="26"/>
      <c r="H40" s="20"/>
      <c r="I40" s="26"/>
      <c r="J40" s="20"/>
      <c r="K40" s="26"/>
      <c r="L40" s="20"/>
      <c r="M40" s="26"/>
      <c r="N40" s="20"/>
    </row>
    <row r="41" spans="1:14" ht="14.1">
      <c r="A41" s="19"/>
      <c r="B41" s="20"/>
      <c r="C41" s="35"/>
      <c r="D41" s="20"/>
      <c r="E41" s="19"/>
      <c r="F41" s="20"/>
      <c r="G41" s="35"/>
      <c r="H41" s="20"/>
      <c r="I41" s="35"/>
      <c r="J41" s="20"/>
      <c r="K41" s="35"/>
      <c r="L41" s="20"/>
      <c r="M41" s="35"/>
      <c r="N41" s="20"/>
    </row>
    <row r="42" spans="1:14" ht="14.1">
      <c r="A42" s="21"/>
      <c r="B42" s="20"/>
      <c r="C42" s="30"/>
      <c r="D42" s="20"/>
      <c r="E42" s="21"/>
      <c r="F42" s="20"/>
      <c r="G42" s="30"/>
      <c r="H42" s="20"/>
      <c r="I42" s="30"/>
      <c r="J42" s="20"/>
      <c r="K42" s="30"/>
      <c r="L42" s="20"/>
      <c r="M42" s="30"/>
      <c r="N42" s="20"/>
    </row>
    <row r="43" spans="1:14" ht="14.1">
      <c r="A43" s="56"/>
      <c r="B43" s="20"/>
      <c r="C43" s="57"/>
      <c r="D43" s="20"/>
      <c r="E43" s="56"/>
      <c r="F43" s="20"/>
      <c r="G43" s="57"/>
      <c r="H43" s="20"/>
      <c r="I43" s="57"/>
      <c r="J43" s="20"/>
      <c r="K43" s="57"/>
      <c r="L43" s="20"/>
      <c r="M43" s="57"/>
      <c r="N43" s="20"/>
    </row>
    <row r="44" spans="1:14" ht="14.1">
      <c r="A44" s="23"/>
      <c r="B44" s="20"/>
      <c r="C44" s="22"/>
      <c r="D44" s="20"/>
      <c r="E44" s="23"/>
      <c r="F44" s="20"/>
      <c r="G44" s="22"/>
      <c r="H44" s="20"/>
      <c r="I44" s="22"/>
      <c r="J44" s="20"/>
      <c r="K44" s="22"/>
      <c r="L44" s="20"/>
      <c r="M44" s="22"/>
      <c r="N44" s="20"/>
    </row>
    <row r="45" spans="1:14" ht="18" customHeight="1">
      <c r="A45" s="25"/>
      <c r="B45" s="20"/>
      <c r="C45" s="31"/>
      <c r="D45" s="24"/>
      <c r="E45" s="25"/>
      <c r="F45" s="20"/>
      <c r="G45" s="31"/>
      <c r="H45" s="24"/>
      <c r="I45" s="31"/>
      <c r="J45" s="24"/>
      <c r="K45" s="31"/>
      <c r="L45" s="24"/>
      <c r="M45" s="31"/>
      <c r="N45" s="24"/>
    </row>
    <row r="46" spans="1:14" ht="18" customHeight="1">
      <c r="A46" s="2">
        <f>IF(M38="","",IF(MONTH(M38+1)&lt;&gt;MONTH($A$1),"",M38+1))</f>
        <v>45138</v>
      </c>
      <c r="B46" s="3"/>
      <c r="C46" s="2" t="str">
        <f>IF(A46="","",IF(MONTH(A46+1)&lt;&gt;MONTH($A$1),"",A46+1))</f>
        <v/>
      </c>
      <c r="D46" s="3"/>
      <c r="E46" s="46" t="s">
        <v>22</v>
      </c>
      <c r="F46" s="47"/>
      <c r="G46" s="48"/>
      <c r="H46" s="47"/>
      <c r="I46" s="47"/>
      <c r="J46" s="47"/>
      <c r="K46" s="47"/>
      <c r="L46" s="47"/>
      <c r="M46" s="47"/>
      <c r="N46" s="49"/>
    </row>
    <row r="47" spans="1:14" ht="14.1">
      <c r="A47" s="29"/>
      <c r="B47" s="20"/>
      <c r="C47" s="44"/>
      <c r="D47" s="20"/>
      <c r="E47" s="45"/>
      <c r="F47" s="37"/>
      <c r="G47" s="37"/>
      <c r="H47" s="37"/>
      <c r="I47" s="37"/>
      <c r="J47" s="37"/>
      <c r="K47" s="37"/>
      <c r="L47" s="37"/>
      <c r="M47" s="37"/>
      <c r="N47" s="20"/>
    </row>
    <row r="48" spans="1:14" ht="14.1">
      <c r="A48" s="27"/>
      <c r="B48" s="20"/>
      <c r="C48" s="26"/>
      <c r="D48" s="20"/>
      <c r="E48" s="45"/>
      <c r="F48" s="37"/>
      <c r="G48" s="37"/>
      <c r="H48" s="37"/>
      <c r="I48" s="37"/>
      <c r="J48" s="37"/>
      <c r="K48" s="37"/>
      <c r="L48" s="37"/>
      <c r="M48" s="37"/>
      <c r="N48" s="20"/>
    </row>
    <row r="49" spans="1:14" ht="14.1">
      <c r="A49" s="19"/>
      <c r="B49" s="20"/>
      <c r="C49" s="35"/>
      <c r="D49" s="20"/>
      <c r="E49" s="45"/>
      <c r="F49" s="37"/>
      <c r="G49" s="37"/>
      <c r="H49" s="37"/>
      <c r="I49" s="37"/>
      <c r="J49" s="37"/>
      <c r="K49" s="37"/>
      <c r="L49" s="37"/>
      <c r="M49" s="37"/>
      <c r="N49" s="20"/>
    </row>
    <row r="50" spans="1:14" ht="14.1">
      <c r="A50" s="21"/>
      <c r="B50" s="20"/>
      <c r="C50" s="30"/>
      <c r="D50" s="20"/>
      <c r="E50" s="6"/>
      <c r="F50" s="7"/>
      <c r="G50" s="7"/>
      <c r="H50" s="7"/>
      <c r="I50" s="7"/>
      <c r="J50" s="7"/>
      <c r="K50" s="7"/>
      <c r="L50" s="7"/>
      <c r="M50" s="7"/>
      <c r="N50" s="8"/>
    </row>
    <row r="51" spans="1:14" ht="14.1">
      <c r="A51" s="56"/>
      <c r="B51" s="20"/>
      <c r="C51" s="57"/>
      <c r="D51" s="20"/>
      <c r="E51" s="6"/>
      <c r="F51" s="7"/>
      <c r="G51" s="7"/>
      <c r="H51" s="7"/>
      <c r="I51" s="7"/>
      <c r="J51" s="7"/>
      <c r="K51" s="7"/>
      <c r="L51" s="7"/>
      <c r="M51" s="7"/>
      <c r="N51" s="8"/>
    </row>
    <row r="52" spans="1:14" ht="14.1">
      <c r="A52" s="23"/>
      <c r="B52" s="20"/>
      <c r="C52" s="22"/>
      <c r="D52" s="20"/>
      <c r="E52" s="6"/>
      <c r="F52" s="7"/>
      <c r="G52" s="7"/>
      <c r="H52" s="7"/>
      <c r="I52" s="7"/>
      <c r="J52" s="7"/>
      <c r="K52" s="7"/>
      <c r="L52" s="7"/>
      <c r="M52" s="7"/>
      <c r="N52" s="8"/>
    </row>
    <row r="53" spans="1:14" ht="14.1">
      <c r="A53" s="25"/>
      <c r="B53" s="20"/>
      <c r="C53" s="31"/>
      <c r="D53" s="24"/>
      <c r="E53" s="32" t="s">
        <v>23</v>
      </c>
      <c r="F53" s="33"/>
      <c r="G53" s="33"/>
      <c r="H53" s="33"/>
      <c r="I53" s="34" t="str">
        <f>HYPERLINK("https://www.vertex42.com/calendars/academic-calendar.html","https://www.vertex42.com/calendars/academic-calendar.html")</f>
        <v>https://www.vertex42.com/calendars/academic-calendar.html</v>
      </c>
      <c r="J53" s="33"/>
      <c r="K53" s="33"/>
      <c r="L53" s="33"/>
      <c r="M53" s="33"/>
      <c r="N53" s="24"/>
    </row>
  </sheetData>
  <mergeCells count="284">
    <mergeCell ref="A51:B51"/>
    <mergeCell ref="A52:B52"/>
    <mergeCell ref="C52:D52"/>
    <mergeCell ref="A53:B53"/>
    <mergeCell ref="C53:D53"/>
    <mergeCell ref="E53:H53"/>
    <mergeCell ref="I53:N53"/>
    <mergeCell ref="A48:B48"/>
    <mergeCell ref="A49:B49"/>
    <mergeCell ref="C49:D49"/>
    <mergeCell ref="E49:N49"/>
    <mergeCell ref="A50:B50"/>
    <mergeCell ref="C50:D50"/>
    <mergeCell ref="C51:D51"/>
    <mergeCell ref="A43:B43"/>
    <mergeCell ref="C43:D43"/>
    <mergeCell ref="E43:F43"/>
    <mergeCell ref="G43:H43"/>
    <mergeCell ref="I43:J43"/>
    <mergeCell ref="K43:L43"/>
    <mergeCell ref="M43:N43"/>
    <mergeCell ref="A44:B44"/>
    <mergeCell ref="C44:D44"/>
    <mergeCell ref="E44:F44"/>
    <mergeCell ref="G44:H44"/>
    <mergeCell ref="I44:J44"/>
    <mergeCell ref="K44:L44"/>
    <mergeCell ref="M44:N44"/>
    <mergeCell ref="K41:L41"/>
    <mergeCell ref="M41:N41"/>
    <mergeCell ref="A42:B42"/>
    <mergeCell ref="C42:D42"/>
    <mergeCell ref="E42:F42"/>
    <mergeCell ref="G42:H42"/>
    <mergeCell ref="I42:J42"/>
    <mergeCell ref="K42:L42"/>
    <mergeCell ref="M42:N42"/>
    <mergeCell ref="A47:B47"/>
    <mergeCell ref="C47:D47"/>
    <mergeCell ref="E47:N47"/>
    <mergeCell ref="C48:D48"/>
    <mergeCell ref="E48:N48"/>
    <mergeCell ref="A39:B39"/>
    <mergeCell ref="C39:D39"/>
    <mergeCell ref="E39:F39"/>
    <mergeCell ref="G39:H39"/>
    <mergeCell ref="I39:J39"/>
    <mergeCell ref="K39:L39"/>
    <mergeCell ref="M39:N39"/>
    <mergeCell ref="A40:B40"/>
    <mergeCell ref="C40:D40"/>
    <mergeCell ref="E40:F40"/>
    <mergeCell ref="G40:H40"/>
    <mergeCell ref="I40:J40"/>
    <mergeCell ref="K40:L40"/>
    <mergeCell ref="M40:N40"/>
    <mergeCell ref="A41:B41"/>
    <mergeCell ref="C41:D41"/>
    <mergeCell ref="E41:F41"/>
    <mergeCell ref="G41:H41"/>
    <mergeCell ref="I41:J41"/>
    <mergeCell ref="A45:B45"/>
    <mergeCell ref="C45:D45"/>
    <mergeCell ref="E45:F45"/>
    <mergeCell ref="G45:H45"/>
    <mergeCell ref="I45:J45"/>
    <mergeCell ref="K45:L45"/>
    <mergeCell ref="M45:N45"/>
    <mergeCell ref="E46:F46"/>
    <mergeCell ref="G46:N46"/>
    <mergeCell ref="A36:B36"/>
    <mergeCell ref="C36:D36"/>
    <mergeCell ref="E36:F36"/>
    <mergeCell ref="G36:H36"/>
    <mergeCell ref="I36:J36"/>
    <mergeCell ref="K36:L36"/>
    <mergeCell ref="M36:N36"/>
    <mergeCell ref="A37:B37"/>
    <mergeCell ref="C37:D37"/>
    <mergeCell ref="E37:F37"/>
    <mergeCell ref="G37:H37"/>
    <mergeCell ref="I37:J37"/>
    <mergeCell ref="K37:L37"/>
    <mergeCell ref="M37:N37"/>
    <mergeCell ref="A34:B34"/>
    <mergeCell ref="C34:D34"/>
    <mergeCell ref="E34:F34"/>
    <mergeCell ref="G34:H34"/>
    <mergeCell ref="I34:J34"/>
    <mergeCell ref="K34:L34"/>
    <mergeCell ref="M34:N34"/>
    <mergeCell ref="A35:B35"/>
    <mergeCell ref="C35:D35"/>
    <mergeCell ref="E35:F35"/>
    <mergeCell ref="G35:H35"/>
    <mergeCell ref="I35:J35"/>
    <mergeCell ref="K35:L35"/>
    <mergeCell ref="M35:N35"/>
    <mergeCell ref="A32:B32"/>
    <mergeCell ref="C32:D32"/>
    <mergeCell ref="E32:F32"/>
    <mergeCell ref="G32:H32"/>
    <mergeCell ref="I32:J32"/>
    <mergeCell ref="K32:L32"/>
    <mergeCell ref="M32:N32"/>
    <mergeCell ref="A33:B33"/>
    <mergeCell ref="C33:D33"/>
    <mergeCell ref="E33:F33"/>
    <mergeCell ref="G33:H33"/>
    <mergeCell ref="I33:J33"/>
    <mergeCell ref="K33:L33"/>
    <mergeCell ref="M33:N33"/>
    <mergeCell ref="A29:B29"/>
    <mergeCell ref="C29:D29"/>
    <mergeCell ref="E29:F29"/>
    <mergeCell ref="G29:H29"/>
    <mergeCell ref="I29:J29"/>
    <mergeCell ref="K29:L29"/>
    <mergeCell ref="M29:N29"/>
    <mergeCell ref="A31:B31"/>
    <mergeCell ref="C31:D31"/>
    <mergeCell ref="E31:F31"/>
    <mergeCell ref="G31:H31"/>
    <mergeCell ref="I31:J31"/>
    <mergeCell ref="K31:L31"/>
    <mergeCell ref="M31:N31"/>
    <mergeCell ref="A27:B27"/>
    <mergeCell ref="C27:D27"/>
    <mergeCell ref="E27:F27"/>
    <mergeCell ref="G27:H27"/>
    <mergeCell ref="I27:J27"/>
    <mergeCell ref="K27:L27"/>
    <mergeCell ref="M27:N27"/>
    <mergeCell ref="A28:B28"/>
    <mergeCell ref="C28:D28"/>
    <mergeCell ref="E28:F28"/>
    <mergeCell ref="G28:H28"/>
    <mergeCell ref="I28:J28"/>
    <mergeCell ref="K28:L28"/>
    <mergeCell ref="M28:N28"/>
    <mergeCell ref="A25:B25"/>
    <mergeCell ref="C25:D25"/>
    <mergeCell ref="E25:F25"/>
    <mergeCell ref="G25:H25"/>
    <mergeCell ref="I25:J25"/>
    <mergeCell ref="K25:L25"/>
    <mergeCell ref="M25:N25"/>
    <mergeCell ref="A26:B26"/>
    <mergeCell ref="C26:D26"/>
    <mergeCell ref="E26:F26"/>
    <mergeCell ref="G26:H26"/>
    <mergeCell ref="I26:J26"/>
    <mergeCell ref="K26:L26"/>
    <mergeCell ref="M26:N26"/>
    <mergeCell ref="A23:B23"/>
    <mergeCell ref="C23:D23"/>
    <mergeCell ref="E23:F23"/>
    <mergeCell ref="G23:H23"/>
    <mergeCell ref="I23:J23"/>
    <mergeCell ref="K23:L23"/>
    <mergeCell ref="M23:N23"/>
    <mergeCell ref="A24:B24"/>
    <mergeCell ref="C24:D24"/>
    <mergeCell ref="E24:F24"/>
    <mergeCell ref="G24:H24"/>
    <mergeCell ref="I24:J24"/>
    <mergeCell ref="K24:L24"/>
    <mergeCell ref="M24:N24"/>
    <mergeCell ref="A20:B20"/>
    <mergeCell ref="C20:D20"/>
    <mergeCell ref="E20:F20"/>
    <mergeCell ref="G20:H20"/>
    <mergeCell ref="I20:J20"/>
    <mergeCell ref="K20:L20"/>
    <mergeCell ref="M20:N20"/>
    <mergeCell ref="A21:B21"/>
    <mergeCell ref="C21:D21"/>
    <mergeCell ref="E21:F21"/>
    <mergeCell ref="G21:H21"/>
    <mergeCell ref="I21:J21"/>
    <mergeCell ref="K21:L21"/>
    <mergeCell ref="M21:N21"/>
    <mergeCell ref="A18:B18"/>
    <mergeCell ref="C18:D18"/>
    <mergeCell ref="E18:F18"/>
    <mergeCell ref="G18:H18"/>
    <mergeCell ref="I18:J18"/>
    <mergeCell ref="K18:L18"/>
    <mergeCell ref="M18:N18"/>
    <mergeCell ref="A19:B19"/>
    <mergeCell ref="C19:D19"/>
    <mergeCell ref="E19:F19"/>
    <mergeCell ref="G19:H19"/>
    <mergeCell ref="I19:J19"/>
    <mergeCell ref="K19:L19"/>
    <mergeCell ref="M19:N19"/>
    <mergeCell ref="A16:B16"/>
    <mergeCell ref="C16:D16"/>
    <mergeCell ref="E16:F16"/>
    <mergeCell ref="G16:H16"/>
    <mergeCell ref="I16:J16"/>
    <mergeCell ref="K16:L16"/>
    <mergeCell ref="M16:N16"/>
    <mergeCell ref="A17:B17"/>
    <mergeCell ref="C17:D17"/>
    <mergeCell ref="E17:F17"/>
    <mergeCell ref="G17:H17"/>
    <mergeCell ref="I17:J17"/>
    <mergeCell ref="K17:L17"/>
    <mergeCell ref="M17:N17"/>
    <mergeCell ref="A13:B13"/>
    <mergeCell ref="C13:D13"/>
    <mergeCell ref="E13:F13"/>
    <mergeCell ref="G13:H13"/>
    <mergeCell ref="I13:J13"/>
    <mergeCell ref="K13:L13"/>
    <mergeCell ref="M13:N13"/>
    <mergeCell ref="A15:B15"/>
    <mergeCell ref="C15:D15"/>
    <mergeCell ref="E15:F15"/>
    <mergeCell ref="G15:H15"/>
    <mergeCell ref="I15:J15"/>
    <mergeCell ref="K15:L15"/>
    <mergeCell ref="M15:N15"/>
    <mergeCell ref="K3:L3"/>
    <mergeCell ref="A7:B7"/>
    <mergeCell ref="C7:D7"/>
    <mergeCell ref="E7:F7"/>
    <mergeCell ref="G7:H7"/>
    <mergeCell ref="I7:J7"/>
    <mergeCell ref="K7:L7"/>
    <mergeCell ref="M7:N7"/>
    <mergeCell ref="A8:B8"/>
    <mergeCell ref="C8:D8"/>
    <mergeCell ref="E8:F8"/>
    <mergeCell ref="G8:H8"/>
    <mergeCell ref="I8:J8"/>
    <mergeCell ref="K8:L8"/>
    <mergeCell ref="M8:N8"/>
    <mergeCell ref="A1:B1"/>
    <mergeCell ref="K1:N1"/>
    <mergeCell ref="A2:N2"/>
    <mergeCell ref="A3:B3"/>
    <mergeCell ref="C3:D3"/>
    <mergeCell ref="E3:F3"/>
    <mergeCell ref="G3:H3"/>
    <mergeCell ref="A11:B11"/>
    <mergeCell ref="C11:D11"/>
    <mergeCell ref="E11:F11"/>
    <mergeCell ref="G11:H11"/>
    <mergeCell ref="I11:J11"/>
    <mergeCell ref="K11:L11"/>
    <mergeCell ref="M11:N11"/>
    <mergeCell ref="K5:L5"/>
    <mergeCell ref="M5:N5"/>
    <mergeCell ref="M3:N3"/>
    <mergeCell ref="A4:N4"/>
    <mergeCell ref="A5:B5"/>
    <mergeCell ref="C5:D5"/>
    <mergeCell ref="E5:F5"/>
    <mergeCell ref="G5:H5"/>
    <mergeCell ref="I5:J5"/>
    <mergeCell ref="I3:J3"/>
    <mergeCell ref="A12:B12"/>
    <mergeCell ref="C12:D12"/>
    <mergeCell ref="E12:F12"/>
    <mergeCell ref="G12:H12"/>
    <mergeCell ref="I12:J12"/>
    <mergeCell ref="K12:L12"/>
    <mergeCell ref="M12:N12"/>
    <mergeCell ref="A9:B9"/>
    <mergeCell ref="C9:D9"/>
    <mergeCell ref="E9:F9"/>
    <mergeCell ref="G9:H9"/>
    <mergeCell ref="I9:J9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</mergeCells>
  <printOptions horizontalCentered="1" gridLines="1"/>
  <pageMargins left="0.25" right="0.25" top="0.5" bottom="0.5" header="0" footer="0"/>
  <pageSetup scale="85" pageOrder="overThenDown" orientation="portrait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N53"/>
  <sheetViews>
    <sheetView showGridLines="0" topLeftCell="A2" workbookViewId="0"/>
  </sheetViews>
  <sheetFormatPr defaultColWidth="12.5703125" defaultRowHeight="12.75" customHeight="1"/>
  <cols>
    <col min="1" max="1" width="3.85546875" customWidth="1"/>
    <col min="2" max="2" width="13.42578125" customWidth="1"/>
    <col min="3" max="3" width="3.85546875" customWidth="1"/>
    <col min="4" max="4" width="13.42578125" customWidth="1"/>
    <col min="5" max="5" width="3.85546875" customWidth="1"/>
    <col min="6" max="6" width="13.42578125" customWidth="1"/>
    <col min="7" max="7" width="3.85546875" customWidth="1"/>
    <col min="8" max="8" width="13.42578125" customWidth="1"/>
    <col min="9" max="9" width="3.85546875" customWidth="1"/>
    <col min="10" max="10" width="13.42578125" customWidth="1"/>
    <col min="11" max="11" width="3.85546875" customWidth="1"/>
    <col min="12" max="12" width="13.42578125" customWidth="1"/>
    <col min="13" max="13" width="3.85546875" customWidth="1"/>
    <col min="14" max="14" width="13.42578125" customWidth="1"/>
  </cols>
  <sheetData>
    <row r="1" spans="1:14" ht="12.6" hidden="1">
      <c r="A1" s="36">
        <f>EDATE('©'!A17,8)</f>
        <v>45352</v>
      </c>
      <c r="B1" s="37"/>
      <c r="C1" s="1"/>
      <c r="D1" s="1"/>
      <c r="E1" s="1"/>
      <c r="F1" s="1"/>
      <c r="G1" s="1"/>
      <c r="H1" s="1"/>
      <c r="I1" s="1"/>
      <c r="J1" s="1"/>
      <c r="K1" s="38" t="s">
        <v>0</v>
      </c>
      <c r="L1" s="37"/>
      <c r="M1" s="37"/>
      <c r="N1" s="37"/>
    </row>
    <row r="2" spans="1:14" ht="18" customHeight="1">
      <c r="A2" s="39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1:14" ht="18" customHeight="1">
      <c r="A3" s="29" t="s">
        <v>2</v>
      </c>
      <c r="B3" s="37"/>
      <c r="C3" s="27" t="s">
        <v>3</v>
      </c>
      <c r="D3" s="37"/>
      <c r="E3" s="19" t="s">
        <v>4</v>
      </c>
      <c r="F3" s="37"/>
      <c r="G3" s="21" t="s">
        <v>5</v>
      </c>
      <c r="H3" s="37"/>
      <c r="I3" s="56" t="s">
        <v>6</v>
      </c>
      <c r="J3" s="37"/>
      <c r="K3" s="23" t="s">
        <v>7</v>
      </c>
      <c r="L3" s="37"/>
      <c r="M3" s="25" t="s">
        <v>8</v>
      </c>
      <c r="N3" s="37"/>
    </row>
    <row r="4" spans="1:14" ht="60.75" customHeight="1">
      <c r="A4" s="42" t="str">
        <f>UPPER(TEXT(A1,"mmmm yyyy"))</f>
        <v>MARCH 2024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</row>
    <row r="5" spans="1:14" ht="15" customHeight="1">
      <c r="A5" s="40">
        <f>A14</f>
        <v>45355</v>
      </c>
      <c r="B5" s="41"/>
      <c r="C5" s="40">
        <f>C14</f>
        <v>45356</v>
      </c>
      <c r="D5" s="41"/>
      <c r="E5" s="40">
        <f>E14</f>
        <v>45357</v>
      </c>
      <c r="F5" s="41"/>
      <c r="G5" s="40">
        <f>G14</f>
        <v>45358</v>
      </c>
      <c r="H5" s="41"/>
      <c r="I5" s="40">
        <f>I14</f>
        <v>45359</v>
      </c>
      <c r="J5" s="41"/>
      <c r="K5" s="40">
        <f>K14</f>
        <v>45360</v>
      </c>
      <c r="L5" s="41"/>
      <c r="M5" s="40">
        <f>M14</f>
        <v>45361</v>
      </c>
      <c r="N5" s="41"/>
    </row>
    <row r="6" spans="1:14" ht="18" customHeight="1">
      <c r="A6" s="2" t="str">
        <f>IF(WEEKDAY($A$1,1)=startday,$A$1,"")</f>
        <v/>
      </c>
      <c r="B6" s="3"/>
      <c r="C6" s="2" t="str">
        <f>IF(A6="",IF(WEEKDAY($A$1,1)=MOD(startday,7)+1,$A$1,""),A6+1)</f>
        <v/>
      </c>
      <c r="D6" s="3"/>
      <c r="E6" s="2" t="str">
        <f>IF(C6="",IF(WEEKDAY($A$1,1)=MOD(startday,7)+2,$A$1,""),C6+1)</f>
        <v/>
      </c>
      <c r="F6" s="3"/>
      <c r="G6" s="2" t="str">
        <f>IF(E6="",IF(WEEKDAY($A$1,1)=MOD(startday,7)+3,$A$1,""),E6+1)</f>
        <v/>
      </c>
      <c r="H6" s="3"/>
      <c r="I6" s="2">
        <f>IF(G6="",IF(WEEKDAY($A$1,1)=MOD(startday,7)+4,$A$1,""),G6+1)</f>
        <v>45352</v>
      </c>
      <c r="J6" s="3"/>
      <c r="K6" s="4">
        <f>IF(I6="",IF(WEEKDAY($A$1,1)=MOD(startday,7)+5,$A$1,""),I6+1)</f>
        <v>45353</v>
      </c>
      <c r="L6" s="5"/>
      <c r="M6" s="4">
        <f>IF(K6="",IF(WEEKDAY($A$1,1)=MOD(startday+5,7)+1,$A$1,""),K6+1)</f>
        <v>45354</v>
      </c>
      <c r="N6" s="5"/>
    </row>
    <row r="7" spans="1:14" ht="14.1">
      <c r="A7" s="29" t="s">
        <v>24</v>
      </c>
      <c r="B7" s="20"/>
      <c r="C7" s="29" t="s">
        <v>24</v>
      </c>
      <c r="D7" s="20"/>
      <c r="E7" s="29" t="s">
        <v>24</v>
      </c>
      <c r="F7" s="20"/>
      <c r="G7" s="29" t="s">
        <v>24</v>
      </c>
      <c r="H7" s="20"/>
      <c r="I7" s="29" t="s">
        <v>24</v>
      </c>
      <c r="J7" s="20"/>
      <c r="K7" s="29" t="s">
        <v>24</v>
      </c>
      <c r="L7" s="20"/>
      <c r="M7" s="29" t="s">
        <v>24</v>
      </c>
      <c r="N7" s="20"/>
    </row>
    <row r="8" spans="1:14" ht="14.1">
      <c r="A8" s="27" t="s">
        <v>12</v>
      </c>
      <c r="B8" s="20"/>
      <c r="C8" s="27" t="s">
        <v>12</v>
      </c>
      <c r="D8" s="20"/>
      <c r="E8" s="27" t="s">
        <v>12</v>
      </c>
      <c r="F8" s="20"/>
      <c r="G8" s="27" t="s">
        <v>12</v>
      </c>
      <c r="H8" s="20"/>
      <c r="I8" s="26" t="s">
        <v>16</v>
      </c>
      <c r="J8" s="20"/>
      <c r="K8" s="26" t="s">
        <v>16</v>
      </c>
      <c r="L8" s="20"/>
      <c r="M8" s="26" t="s">
        <v>16</v>
      </c>
      <c r="N8" s="20"/>
    </row>
    <row r="9" spans="1:14" ht="14.1">
      <c r="A9" s="19" t="s">
        <v>13</v>
      </c>
      <c r="B9" s="20"/>
      <c r="C9" s="19" t="s">
        <v>13</v>
      </c>
      <c r="D9" s="20"/>
      <c r="E9" s="19" t="s">
        <v>13</v>
      </c>
      <c r="F9" s="20"/>
      <c r="G9" s="19" t="s">
        <v>13</v>
      </c>
      <c r="H9" s="20"/>
      <c r="I9" s="19" t="s">
        <v>13</v>
      </c>
      <c r="J9" s="20"/>
      <c r="K9" s="19" t="s">
        <v>13</v>
      </c>
      <c r="L9" s="20"/>
      <c r="M9" s="19" t="s">
        <v>13</v>
      </c>
      <c r="N9" s="20"/>
    </row>
    <row r="10" spans="1:14" ht="14.1">
      <c r="A10" s="21" t="s">
        <v>24</v>
      </c>
      <c r="B10" s="20"/>
      <c r="C10" s="21" t="s">
        <v>24</v>
      </c>
      <c r="D10" s="20"/>
      <c r="E10" s="21" t="s">
        <v>24</v>
      </c>
      <c r="F10" s="20"/>
      <c r="G10" s="21" t="s">
        <v>24</v>
      </c>
      <c r="H10" s="20"/>
      <c r="I10" s="21" t="s">
        <v>24</v>
      </c>
      <c r="J10" s="20"/>
      <c r="K10" s="21" t="s">
        <v>24</v>
      </c>
      <c r="L10" s="20"/>
      <c r="M10" s="21" t="s">
        <v>24</v>
      </c>
      <c r="N10" s="20"/>
    </row>
    <row r="11" spans="1:14" ht="14.1">
      <c r="A11" s="56" t="s">
        <v>25</v>
      </c>
      <c r="B11" s="20"/>
      <c r="C11" s="56" t="s">
        <v>25</v>
      </c>
      <c r="D11" s="20"/>
      <c r="E11" s="56" t="s">
        <v>25</v>
      </c>
      <c r="F11" s="20"/>
      <c r="G11" s="56" t="s">
        <v>25</v>
      </c>
      <c r="H11" s="20"/>
      <c r="I11" s="56" t="s">
        <v>25</v>
      </c>
      <c r="J11" s="20"/>
      <c r="K11" s="56" t="s">
        <v>25</v>
      </c>
      <c r="L11" s="20"/>
      <c r="M11" s="56" t="s">
        <v>25</v>
      </c>
      <c r="N11" s="20"/>
    </row>
    <row r="12" spans="1:14" ht="14.1">
      <c r="A12" s="23" t="s">
        <v>26</v>
      </c>
      <c r="B12" s="20"/>
      <c r="C12" s="22" t="s">
        <v>27</v>
      </c>
      <c r="D12" s="20"/>
      <c r="E12" s="23" t="s">
        <v>28</v>
      </c>
      <c r="F12" s="20"/>
      <c r="G12" s="22" t="s">
        <v>27</v>
      </c>
      <c r="H12" s="20"/>
      <c r="I12" s="22" t="s">
        <v>27</v>
      </c>
      <c r="J12" s="20"/>
      <c r="K12" s="22" t="s">
        <v>19</v>
      </c>
      <c r="L12" s="20"/>
      <c r="M12" s="22" t="s">
        <v>19</v>
      </c>
      <c r="N12" s="20"/>
    </row>
    <row r="13" spans="1:14" ht="18" customHeight="1">
      <c r="A13" s="25" t="s">
        <v>29</v>
      </c>
      <c r="B13" s="20"/>
      <c r="C13" s="25" t="s">
        <v>30</v>
      </c>
      <c r="D13" s="20"/>
      <c r="E13" s="25" t="s">
        <v>30</v>
      </c>
      <c r="F13" s="20"/>
      <c r="G13" s="25" t="s">
        <v>30</v>
      </c>
      <c r="H13" s="20"/>
      <c r="I13" s="25" t="s">
        <v>30</v>
      </c>
      <c r="J13" s="20"/>
      <c r="K13" s="31" t="s">
        <v>30</v>
      </c>
      <c r="L13" s="24"/>
      <c r="M13" s="31" t="s">
        <v>30</v>
      </c>
      <c r="N13" s="24"/>
    </row>
    <row r="14" spans="1:14" ht="18" customHeight="1">
      <c r="A14" s="2">
        <f>M6+1</f>
        <v>45355</v>
      </c>
      <c r="B14" s="3"/>
      <c r="C14" s="2">
        <f>A14+1</f>
        <v>45356</v>
      </c>
      <c r="D14" s="3"/>
      <c r="E14" s="2">
        <f>C14+1</f>
        <v>45357</v>
      </c>
      <c r="F14" s="3"/>
      <c r="G14" s="2">
        <f>E14+1</f>
        <v>45358</v>
      </c>
      <c r="H14" s="3"/>
      <c r="I14" s="2">
        <f>G14+1</f>
        <v>45359</v>
      </c>
      <c r="J14" s="3"/>
      <c r="K14" s="4">
        <f>I14+1</f>
        <v>45360</v>
      </c>
      <c r="L14" s="5"/>
      <c r="M14" s="4">
        <f>K14+1</f>
        <v>45361</v>
      </c>
      <c r="N14" s="5"/>
    </row>
    <row r="15" spans="1:14" ht="14.1">
      <c r="A15" s="29" t="s">
        <v>24</v>
      </c>
      <c r="B15" s="20"/>
      <c r="C15" s="44" t="s">
        <v>24</v>
      </c>
      <c r="D15" s="20"/>
      <c r="E15" s="29" t="s">
        <v>24</v>
      </c>
      <c r="F15" s="20"/>
      <c r="G15" s="44" t="s">
        <v>24</v>
      </c>
      <c r="H15" s="20"/>
      <c r="I15" s="44" t="s">
        <v>31</v>
      </c>
      <c r="J15" s="20"/>
      <c r="K15" s="44" t="s">
        <v>9</v>
      </c>
      <c r="L15" s="20"/>
      <c r="M15" s="44" t="s">
        <v>9</v>
      </c>
      <c r="N15" s="20"/>
    </row>
    <row r="16" spans="1:14" ht="14.1">
      <c r="A16" s="27" t="s">
        <v>16</v>
      </c>
      <c r="B16" s="20"/>
      <c r="C16" s="26" t="s">
        <v>16</v>
      </c>
      <c r="D16" s="20"/>
      <c r="E16" s="27" t="s">
        <v>16</v>
      </c>
      <c r="F16" s="20"/>
      <c r="G16" s="26" t="s">
        <v>25</v>
      </c>
      <c r="H16" s="20"/>
      <c r="I16" s="26" t="s">
        <v>25</v>
      </c>
      <c r="J16" s="20"/>
      <c r="K16" s="26" t="s">
        <v>25</v>
      </c>
      <c r="L16" s="20"/>
      <c r="M16" s="26" t="s">
        <v>25</v>
      </c>
      <c r="N16" s="20"/>
    </row>
    <row r="17" spans="1:14" ht="14.1">
      <c r="A17" s="19" t="s">
        <v>11</v>
      </c>
      <c r="B17" s="20"/>
      <c r="C17" s="35" t="s">
        <v>31</v>
      </c>
      <c r="D17" s="20"/>
      <c r="E17" s="19" t="s">
        <v>31</v>
      </c>
      <c r="F17" s="20"/>
      <c r="G17" s="35" t="s">
        <v>31</v>
      </c>
      <c r="H17" s="20"/>
      <c r="I17" s="35" t="s">
        <v>11</v>
      </c>
      <c r="J17" s="20"/>
      <c r="K17" s="35" t="s">
        <v>32</v>
      </c>
      <c r="L17" s="20"/>
      <c r="M17" s="35" t="s">
        <v>32</v>
      </c>
      <c r="N17" s="20"/>
    </row>
    <row r="18" spans="1:14" ht="14.1">
      <c r="A18" s="21" t="s">
        <v>15</v>
      </c>
      <c r="B18" s="20"/>
      <c r="C18" s="21" t="s">
        <v>15</v>
      </c>
      <c r="D18" s="20"/>
      <c r="E18" s="21" t="s">
        <v>15</v>
      </c>
      <c r="F18" s="20"/>
      <c r="G18" s="21" t="s">
        <v>15</v>
      </c>
      <c r="H18" s="20"/>
      <c r="I18" s="21" t="s">
        <v>15</v>
      </c>
      <c r="J18" s="20"/>
      <c r="K18" s="21" t="s">
        <v>15</v>
      </c>
      <c r="L18" s="20"/>
      <c r="M18" s="21" t="s">
        <v>15</v>
      </c>
      <c r="N18" s="20"/>
    </row>
    <row r="19" spans="1:14" ht="14.1">
      <c r="A19" s="56" t="s">
        <v>13</v>
      </c>
      <c r="B19" s="20"/>
      <c r="C19" s="56" t="s">
        <v>13</v>
      </c>
      <c r="D19" s="20"/>
      <c r="E19" s="56" t="s">
        <v>13</v>
      </c>
      <c r="F19" s="20"/>
      <c r="G19" s="56" t="s">
        <v>13</v>
      </c>
      <c r="H19" s="20"/>
      <c r="I19" s="56" t="s">
        <v>13</v>
      </c>
      <c r="J19" s="20"/>
      <c r="K19" s="56" t="s">
        <v>13</v>
      </c>
      <c r="L19" s="20"/>
      <c r="M19" s="56" t="s">
        <v>13</v>
      </c>
      <c r="N19" s="20"/>
    </row>
    <row r="20" spans="1:14" ht="14.1">
      <c r="A20" s="23" t="s">
        <v>27</v>
      </c>
      <c r="B20" s="20"/>
      <c r="C20" s="22" t="s">
        <v>27</v>
      </c>
      <c r="D20" s="20"/>
      <c r="E20" s="23" t="s">
        <v>28</v>
      </c>
      <c r="F20" s="20"/>
      <c r="G20" s="22" t="s">
        <v>33</v>
      </c>
      <c r="H20" s="20"/>
      <c r="I20" s="22" t="s">
        <v>17</v>
      </c>
      <c r="J20" s="20"/>
      <c r="K20" s="22" t="s">
        <v>17</v>
      </c>
      <c r="L20" s="20"/>
      <c r="M20" s="22" t="s">
        <v>17</v>
      </c>
      <c r="N20" s="20"/>
    </row>
    <row r="21" spans="1:14" ht="18" customHeight="1">
      <c r="A21" s="25" t="s">
        <v>34</v>
      </c>
      <c r="B21" s="20"/>
      <c r="C21" s="25" t="s">
        <v>34</v>
      </c>
      <c r="D21" s="20"/>
      <c r="E21" s="25" t="s">
        <v>34</v>
      </c>
      <c r="F21" s="20"/>
      <c r="G21" s="25" t="s">
        <v>34</v>
      </c>
      <c r="H21" s="20"/>
      <c r="I21" s="25" t="s">
        <v>35</v>
      </c>
      <c r="J21" s="20"/>
      <c r="K21" s="31" t="s">
        <v>36</v>
      </c>
      <c r="L21" s="24"/>
      <c r="M21" s="31" t="s">
        <v>37</v>
      </c>
      <c r="N21" s="24"/>
    </row>
    <row r="22" spans="1:14" ht="18" customHeight="1">
      <c r="A22" s="2">
        <f>M14+1</f>
        <v>45362</v>
      </c>
      <c r="B22" s="3"/>
      <c r="C22" s="2">
        <f>A22+1</f>
        <v>45363</v>
      </c>
      <c r="D22" s="3"/>
      <c r="E22" s="2">
        <f>C22+1</f>
        <v>45364</v>
      </c>
      <c r="F22" s="3"/>
      <c r="G22" s="2">
        <f>E22+1</f>
        <v>45365</v>
      </c>
      <c r="H22" s="3"/>
      <c r="I22" s="2">
        <f>G22+1</f>
        <v>45366</v>
      </c>
      <c r="J22" s="3"/>
      <c r="K22" s="4">
        <f>I22+1</f>
        <v>45367</v>
      </c>
      <c r="L22" s="5"/>
      <c r="M22" s="4">
        <f>K22+1</f>
        <v>45368</v>
      </c>
      <c r="N22" s="5"/>
    </row>
    <row r="23" spans="1:14" ht="14.1">
      <c r="A23" s="29" t="s">
        <v>31</v>
      </c>
      <c r="B23" s="20"/>
      <c r="C23" s="29" t="s">
        <v>9</v>
      </c>
      <c r="D23" s="20"/>
      <c r="E23" s="29" t="s">
        <v>9</v>
      </c>
      <c r="F23" s="20"/>
      <c r="G23" s="29" t="s">
        <v>9</v>
      </c>
      <c r="H23" s="20"/>
      <c r="I23" s="44" t="s">
        <v>24</v>
      </c>
      <c r="J23" s="20"/>
      <c r="K23" s="44" t="s">
        <v>24</v>
      </c>
      <c r="L23" s="20"/>
      <c r="M23" s="44" t="s">
        <v>24</v>
      </c>
      <c r="N23" s="20"/>
    </row>
    <row r="24" spans="1:14" ht="14.1">
      <c r="A24" s="27" t="s">
        <v>25</v>
      </c>
      <c r="B24" s="20"/>
      <c r="C24" s="27" t="s">
        <v>25</v>
      </c>
      <c r="D24" s="20"/>
      <c r="E24" s="27" t="s">
        <v>25</v>
      </c>
      <c r="F24" s="20"/>
      <c r="G24" s="27" t="s">
        <v>25</v>
      </c>
      <c r="H24" s="20"/>
      <c r="I24" s="26" t="s">
        <v>38</v>
      </c>
      <c r="J24" s="20"/>
      <c r="K24" s="26" t="s">
        <v>38</v>
      </c>
      <c r="L24" s="20"/>
      <c r="M24" s="26" t="s">
        <v>38</v>
      </c>
      <c r="N24" s="20"/>
    </row>
    <row r="25" spans="1:14" ht="14.1">
      <c r="A25" s="19" t="s">
        <v>11</v>
      </c>
      <c r="B25" s="20"/>
      <c r="C25" s="35" t="s">
        <v>11</v>
      </c>
      <c r="D25" s="20"/>
      <c r="E25" s="19" t="s">
        <v>39</v>
      </c>
      <c r="F25" s="20"/>
      <c r="G25" s="35" t="s">
        <v>40</v>
      </c>
      <c r="H25" s="20"/>
      <c r="I25" s="35" t="s">
        <v>40</v>
      </c>
      <c r="J25" s="20"/>
      <c r="K25" s="35" t="s">
        <v>40</v>
      </c>
      <c r="L25" s="20"/>
      <c r="M25" s="35" t="s">
        <v>40</v>
      </c>
      <c r="N25" s="20"/>
    </row>
    <row r="26" spans="1:14" ht="14.1">
      <c r="A26" s="21" t="s">
        <v>15</v>
      </c>
      <c r="B26" s="20"/>
      <c r="C26" s="30" t="s">
        <v>24</v>
      </c>
      <c r="D26" s="20"/>
      <c r="E26" s="21" t="s">
        <v>24</v>
      </c>
      <c r="F26" s="20"/>
      <c r="G26" s="21" t="s">
        <v>15</v>
      </c>
      <c r="H26" s="20"/>
      <c r="I26" s="21" t="s">
        <v>24</v>
      </c>
      <c r="J26" s="20"/>
      <c r="K26" s="21" t="s">
        <v>24</v>
      </c>
      <c r="L26" s="20"/>
      <c r="M26" s="21" t="s">
        <v>24</v>
      </c>
      <c r="N26" s="20"/>
    </row>
    <row r="27" spans="1:14" ht="14.1">
      <c r="A27" s="56" t="s">
        <v>13</v>
      </c>
      <c r="B27" s="20"/>
      <c r="C27" s="56" t="s">
        <v>13</v>
      </c>
      <c r="D27" s="20"/>
      <c r="E27" s="56" t="s">
        <v>13</v>
      </c>
      <c r="F27" s="20"/>
      <c r="G27" s="56" t="s">
        <v>13</v>
      </c>
      <c r="H27" s="20"/>
      <c r="I27" s="56" t="s">
        <v>13</v>
      </c>
      <c r="J27" s="20"/>
      <c r="K27" s="56" t="s">
        <v>13</v>
      </c>
      <c r="L27" s="20"/>
      <c r="M27" s="56" t="s">
        <v>13</v>
      </c>
      <c r="N27" s="20"/>
    </row>
    <row r="28" spans="1:14" ht="14.1">
      <c r="A28" s="23" t="s">
        <v>28</v>
      </c>
      <c r="B28" s="20"/>
      <c r="C28" s="22" t="s">
        <v>17</v>
      </c>
      <c r="D28" s="20"/>
      <c r="E28" s="23" t="s">
        <v>28</v>
      </c>
      <c r="F28" s="20"/>
      <c r="G28" s="22" t="s">
        <v>26</v>
      </c>
      <c r="H28" s="20"/>
      <c r="I28" s="22" t="s">
        <v>26</v>
      </c>
      <c r="J28" s="20"/>
      <c r="K28" s="22" t="s">
        <v>26</v>
      </c>
      <c r="L28" s="20"/>
      <c r="M28" s="22" t="s">
        <v>26</v>
      </c>
      <c r="N28" s="20"/>
    </row>
    <row r="29" spans="1:14" ht="18" customHeight="1">
      <c r="A29" s="25" t="s">
        <v>30</v>
      </c>
      <c r="B29" s="20"/>
      <c r="C29" s="25" t="s">
        <v>29</v>
      </c>
      <c r="D29" s="20"/>
      <c r="E29" s="25" t="s">
        <v>30</v>
      </c>
      <c r="F29" s="20"/>
      <c r="G29" s="25" t="s">
        <v>29</v>
      </c>
      <c r="H29" s="20"/>
      <c r="I29" s="25" t="s">
        <v>29</v>
      </c>
      <c r="J29" s="20"/>
      <c r="K29" s="31" t="s">
        <v>41</v>
      </c>
      <c r="L29" s="24"/>
      <c r="M29" s="31" t="s">
        <v>41</v>
      </c>
      <c r="N29" s="24"/>
    </row>
    <row r="30" spans="1:14" ht="18" customHeight="1">
      <c r="A30" s="2">
        <f>M22+1</f>
        <v>45369</v>
      </c>
      <c r="B30" s="3"/>
      <c r="C30" s="2">
        <f>A30+1</f>
        <v>45370</v>
      </c>
      <c r="D30" s="3"/>
      <c r="E30" s="2">
        <f>C30+1</f>
        <v>45371</v>
      </c>
      <c r="F30" s="3"/>
      <c r="G30" s="2">
        <f>E30+1</f>
        <v>45372</v>
      </c>
      <c r="H30" s="3"/>
      <c r="I30" s="2">
        <f>G30+1</f>
        <v>45373</v>
      </c>
      <c r="J30" s="3"/>
      <c r="K30" s="4">
        <f>I30+1</f>
        <v>45374</v>
      </c>
      <c r="L30" s="5"/>
      <c r="M30" s="4">
        <f>K30+1</f>
        <v>45375</v>
      </c>
      <c r="N30" s="5"/>
    </row>
    <row r="31" spans="1:14" ht="14.1">
      <c r="A31" s="29" t="s">
        <v>24</v>
      </c>
      <c r="B31" s="20"/>
      <c r="C31" s="29" t="s">
        <v>24</v>
      </c>
      <c r="D31" s="20"/>
      <c r="E31" s="29" t="s">
        <v>24</v>
      </c>
      <c r="F31" s="20"/>
      <c r="G31" s="29" t="s">
        <v>24</v>
      </c>
      <c r="H31" s="20"/>
      <c r="I31" s="44" t="s">
        <v>39</v>
      </c>
      <c r="J31" s="20"/>
      <c r="K31" s="44" t="s">
        <v>11</v>
      </c>
      <c r="L31" s="20"/>
      <c r="M31" s="44" t="s">
        <v>11</v>
      </c>
      <c r="N31" s="20"/>
    </row>
    <row r="32" spans="1:14" ht="14.1">
      <c r="A32" s="27" t="s">
        <v>38</v>
      </c>
      <c r="B32" s="20"/>
      <c r="C32" s="26" t="s">
        <v>38</v>
      </c>
      <c r="D32" s="20"/>
      <c r="E32" s="27" t="s">
        <v>38</v>
      </c>
      <c r="F32" s="20"/>
      <c r="G32" s="26" t="s">
        <v>38</v>
      </c>
      <c r="H32" s="20"/>
      <c r="I32" s="26" t="s">
        <v>42</v>
      </c>
      <c r="J32" s="20"/>
      <c r="K32" s="26" t="s">
        <v>42</v>
      </c>
      <c r="L32" s="20"/>
      <c r="M32" s="26" t="s">
        <v>42</v>
      </c>
      <c r="N32" s="20"/>
    </row>
    <row r="33" spans="1:14" ht="14.1">
      <c r="A33" s="19" t="s">
        <v>11</v>
      </c>
      <c r="B33" s="20"/>
      <c r="C33" s="35" t="s">
        <v>9</v>
      </c>
      <c r="D33" s="20"/>
      <c r="E33" s="19" t="s">
        <v>31</v>
      </c>
      <c r="F33" s="20"/>
      <c r="G33" s="35" t="s">
        <v>9</v>
      </c>
      <c r="H33" s="20"/>
      <c r="I33" s="35" t="s">
        <v>9</v>
      </c>
      <c r="J33" s="20"/>
      <c r="K33" s="35" t="s">
        <v>31</v>
      </c>
      <c r="L33" s="20"/>
      <c r="M33" s="35" t="s">
        <v>31</v>
      </c>
      <c r="N33" s="20"/>
    </row>
    <row r="34" spans="1:14" ht="14.1">
      <c r="A34" s="21" t="s">
        <v>24</v>
      </c>
      <c r="B34" s="20"/>
      <c r="C34" s="21" t="s">
        <v>24</v>
      </c>
      <c r="D34" s="20"/>
      <c r="E34" s="21" t="s">
        <v>24</v>
      </c>
      <c r="F34" s="20"/>
      <c r="G34" s="21" t="s">
        <v>24</v>
      </c>
      <c r="H34" s="20"/>
      <c r="I34" s="30" t="s">
        <v>15</v>
      </c>
      <c r="J34" s="20"/>
      <c r="K34" s="30" t="s">
        <v>15</v>
      </c>
      <c r="L34" s="20"/>
      <c r="M34" s="30" t="s">
        <v>15</v>
      </c>
      <c r="N34" s="20"/>
    </row>
    <row r="35" spans="1:14" ht="14.1">
      <c r="A35" s="56" t="s">
        <v>43</v>
      </c>
      <c r="B35" s="20"/>
      <c r="C35" s="56" t="s">
        <v>43</v>
      </c>
      <c r="D35" s="20"/>
      <c r="E35" s="56" t="s">
        <v>43</v>
      </c>
      <c r="F35" s="20"/>
      <c r="G35" s="56" t="s">
        <v>43</v>
      </c>
      <c r="H35" s="20"/>
      <c r="I35" s="56" t="s">
        <v>43</v>
      </c>
      <c r="J35" s="20"/>
      <c r="K35" s="56" t="s">
        <v>43</v>
      </c>
      <c r="L35" s="20"/>
      <c r="M35" s="56" t="s">
        <v>43</v>
      </c>
      <c r="N35" s="20"/>
    </row>
    <row r="36" spans="1:14" ht="14.1">
      <c r="A36" s="23" t="s">
        <v>44</v>
      </c>
      <c r="B36" s="20"/>
      <c r="C36" s="23" t="s">
        <v>27</v>
      </c>
      <c r="D36" s="20"/>
      <c r="E36" s="23" t="s">
        <v>28</v>
      </c>
      <c r="F36" s="20"/>
      <c r="G36" s="23" t="s">
        <v>33</v>
      </c>
      <c r="H36" s="20"/>
      <c r="I36" s="23" t="s">
        <v>17</v>
      </c>
      <c r="J36" s="20"/>
      <c r="K36" s="23" t="s">
        <v>17</v>
      </c>
      <c r="L36" s="20"/>
      <c r="M36" s="23" t="s">
        <v>17</v>
      </c>
      <c r="N36" s="20"/>
    </row>
    <row r="37" spans="1:14" ht="18" customHeight="1">
      <c r="A37" s="25" t="s">
        <v>34</v>
      </c>
      <c r="B37" s="20"/>
      <c r="C37" s="25" t="s">
        <v>34</v>
      </c>
      <c r="D37" s="20"/>
      <c r="E37" s="25" t="s">
        <v>34</v>
      </c>
      <c r="F37" s="20"/>
      <c r="G37" s="25" t="s">
        <v>34</v>
      </c>
      <c r="H37" s="20"/>
      <c r="I37" s="25" t="s">
        <v>35</v>
      </c>
      <c r="J37" s="20"/>
      <c r="K37" s="31" t="s">
        <v>37</v>
      </c>
      <c r="L37" s="24"/>
      <c r="M37" s="31" t="s">
        <v>37</v>
      </c>
      <c r="N37" s="24"/>
    </row>
    <row r="38" spans="1:14" ht="18" customHeight="1">
      <c r="A38" s="2">
        <f>IF(M30="","",IF(MONTH(M30+1)&lt;&gt;MONTH($A$1),"",M30+1))</f>
        <v>45376</v>
      </c>
      <c r="B38" s="3"/>
      <c r="C38" s="2">
        <f>IF(A38="","",IF(MONTH(A38+1)&lt;&gt;MONTH($A$1),"",A38+1))</f>
        <v>45377</v>
      </c>
      <c r="D38" s="3"/>
      <c r="E38" s="2">
        <f>IF(C38="","",IF(MONTH(C38+1)&lt;&gt;MONTH($A$1),"",C38+1))</f>
        <v>45378</v>
      </c>
      <c r="F38" s="3"/>
      <c r="G38" s="2">
        <f>IF(E38="","",IF(MONTH(E38+1)&lt;&gt;MONTH($A$1),"",E38+1))</f>
        <v>45379</v>
      </c>
      <c r="H38" s="3"/>
      <c r="I38" s="2">
        <f>IF(G38="","",IF(MONTH(G38+1)&lt;&gt;MONTH($A$1),"",G38+1))</f>
        <v>45380</v>
      </c>
      <c r="J38" s="3"/>
      <c r="K38" s="4">
        <f>IF(I38="","",IF(MONTH(I38+1)&lt;&gt;MONTH($A$1),"",I38+1))</f>
        <v>45381</v>
      </c>
      <c r="L38" s="5"/>
      <c r="M38" s="4">
        <f>IF(K38="","",IF(MONTH(K38+1)&lt;&gt;MONTH($A$1),"",K38+1))</f>
        <v>45382</v>
      </c>
      <c r="N38" s="5"/>
    </row>
    <row r="39" spans="1:14" ht="14.1">
      <c r="A39" s="29" t="s">
        <v>39</v>
      </c>
      <c r="B39" s="20"/>
      <c r="C39" s="44" t="s">
        <v>11</v>
      </c>
      <c r="D39" s="20"/>
      <c r="E39" s="29" t="s">
        <v>39</v>
      </c>
      <c r="F39" s="20"/>
      <c r="G39" s="44"/>
      <c r="H39" s="20"/>
      <c r="I39" s="44"/>
      <c r="J39" s="20"/>
      <c r="K39" s="44"/>
      <c r="L39" s="20"/>
      <c r="M39" s="44"/>
      <c r="N39" s="20"/>
    </row>
    <row r="40" spans="1:14" ht="14.1">
      <c r="A40" s="27" t="s">
        <v>42</v>
      </c>
      <c r="B40" s="20"/>
      <c r="C40" s="27" t="s">
        <v>42</v>
      </c>
      <c r="D40" s="20"/>
      <c r="E40" s="27" t="s">
        <v>42</v>
      </c>
      <c r="F40" s="20"/>
      <c r="G40" s="26"/>
      <c r="H40" s="20"/>
      <c r="I40" s="26"/>
      <c r="J40" s="20"/>
      <c r="K40" s="26"/>
      <c r="L40" s="20"/>
      <c r="M40" s="26"/>
      <c r="N40" s="20"/>
    </row>
    <row r="41" spans="1:14" ht="14.1">
      <c r="A41" s="19" t="s">
        <v>45</v>
      </c>
      <c r="B41" s="20"/>
      <c r="C41" s="35" t="s">
        <v>9</v>
      </c>
      <c r="D41" s="20"/>
      <c r="E41" s="19" t="s">
        <v>9</v>
      </c>
      <c r="F41" s="20"/>
      <c r="G41" s="35"/>
      <c r="H41" s="20"/>
      <c r="I41" s="35"/>
      <c r="J41" s="20"/>
      <c r="K41" s="35"/>
      <c r="L41" s="20"/>
      <c r="M41" s="35"/>
      <c r="N41" s="20"/>
    </row>
    <row r="42" spans="1:14" ht="14.1">
      <c r="A42" s="21" t="s">
        <v>15</v>
      </c>
      <c r="B42" s="20"/>
      <c r="C42" s="21" t="s">
        <v>15</v>
      </c>
      <c r="D42" s="20"/>
      <c r="E42" s="21" t="s">
        <v>15</v>
      </c>
      <c r="F42" s="20"/>
      <c r="G42" s="30"/>
      <c r="H42" s="20"/>
      <c r="I42" s="30"/>
      <c r="J42" s="20"/>
      <c r="K42" s="30"/>
      <c r="L42" s="20"/>
      <c r="M42" s="30"/>
      <c r="N42" s="20"/>
    </row>
    <row r="43" spans="1:14" ht="14.1">
      <c r="A43" s="56" t="s">
        <v>25</v>
      </c>
      <c r="B43" s="20"/>
      <c r="C43" s="56" t="s">
        <v>25</v>
      </c>
      <c r="D43" s="20"/>
      <c r="E43" s="56" t="s">
        <v>25</v>
      </c>
      <c r="F43" s="20"/>
      <c r="G43" s="57"/>
      <c r="H43" s="20"/>
      <c r="I43" s="57"/>
      <c r="J43" s="20"/>
      <c r="K43" s="57"/>
      <c r="L43" s="20"/>
      <c r="M43" s="57"/>
      <c r="N43" s="20"/>
    </row>
    <row r="44" spans="1:14" ht="14.1">
      <c r="A44" s="23" t="s">
        <v>28</v>
      </c>
      <c r="B44" s="20"/>
      <c r="C44" s="23" t="s">
        <v>17</v>
      </c>
      <c r="D44" s="20"/>
      <c r="E44" s="23" t="s">
        <v>28</v>
      </c>
      <c r="F44" s="20"/>
      <c r="G44" s="22"/>
      <c r="H44" s="20"/>
      <c r="I44" s="22"/>
      <c r="J44" s="20"/>
      <c r="K44" s="22"/>
      <c r="L44" s="20"/>
      <c r="M44" s="22"/>
      <c r="N44" s="20"/>
    </row>
    <row r="45" spans="1:14" ht="18" customHeight="1">
      <c r="A45" s="25" t="s">
        <v>30</v>
      </c>
      <c r="B45" s="20"/>
      <c r="C45" s="31" t="s">
        <v>29</v>
      </c>
      <c r="D45" s="24"/>
      <c r="E45" s="25" t="s">
        <v>30</v>
      </c>
      <c r="F45" s="20"/>
      <c r="G45" s="31"/>
      <c r="H45" s="24"/>
      <c r="I45" s="31"/>
      <c r="J45" s="24"/>
      <c r="K45" s="31"/>
      <c r="L45" s="24"/>
      <c r="M45" s="31"/>
      <c r="N45" s="24"/>
    </row>
    <row r="46" spans="1:14" ht="18" customHeight="1">
      <c r="A46" s="2" t="str">
        <f>IF(M38="","",IF(MONTH(M38+1)&lt;&gt;MONTH($A$1),"",M38+1))</f>
        <v/>
      </c>
      <c r="B46" s="3"/>
      <c r="C46" s="2" t="str">
        <f>IF(A46="","",IF(MONTH(A46+1)&lt;&gt;MONTH($A$1),"",A46+1))</f>
        <v/>
      </c>
      <c r="D46" s="3"/>
      <c r="E46" s="46" t="s">
        <v>22</v>
      </c>
      <c r="F46" s="47"/>
      <c r="G46" s="48"/>
      <c r="H46" s="47"/>
      <c r="I46" s="47"/>
      <c r="J46" s="47"/>
      <c r="K46" s="47"/>
      <c r="L46" s="47"/>
      <c r="M46" s="47"/>
      <c r="N46" s="49"/>
    </row>
    <row r="47" spans="1:14" ht="14.1">
      <c r="A47" s="29"/>
      <c r="B47" s="20"/>
      <c r="C47" s="44"/>
      <c r="D47" s="20"/>
      <c r="E47" s="45" t="s">
        <v>46</v>
      </c>
      <c r="F47" s="37"/>
      <c r="G47" s="37"/>
      <c r="H47" s="37"/>
      <c r="I47" s="37"/>
      <c r="J47" s="37"/>
      <c r="K47" s="37"/>
      <c r="L47" s="37"/>
      <c r="M47" s="37"/>
      <c r="N47" s="20"/>
    </row>
    <row r="48" spans="1:14" ht="14.1">
      <c r="A48" s="27"/>
      <c r="B48" s="20"/>
      <c r="C48" s="26"/>
      <c r="D48" s="20"/>
      <c r="E48" s="45" t="s">
        <v>47</v>
      </c>
      <c r="F48" s="37"/>
      <c r="G48" s="37"/>
      <c r="H48" s="37"/>
      <c r="I48" s="37"/>
      <c r="J48" s="37"/>
      <c r="K48" s="37"/>
      <c r="L48" s="37"/>
      <c r="M48" s="37"/>
      <c r="N48" s="20"/>
    </row>
    <row r="49" spans="1:14" ht="14.1">
      <c r="A49" s="19"/>
      <c r="B49" s="20"/>
      <c r="C49" s="35"/>
      <c r="D49" s="20"/>
      <c r="E49" s="45" t="s">
        <v>48</v>
      </c>
      <c r="F49" s="37"/>
      <c r="G49" s="37"/>
      <c r="H49" s="37"/>
      <c r="I49" s="37"/>
      <c r="J49" s="37"/>
      <c r="K49" s="37"/>
      <c r="L49" s="37"/>
      <c r="M49" s="37"/>
      <c r="N49" s="20"/>
    </row>
    <row r="50" spans="1:14" ht="14.1">
      <c r="A50" s="21"/>
      <c r="B50" s="20"/>
      <c r="C50" s="30"/>
      <c r="D50" s="20"/>
      <c r="E50" s="6"/>
      <c r="F50" s="7"/>
      <c r="G50" s="7"/>
      <c r="H50" s="7"/>
      <c r="I50" s="7"/>
      <c r="J50" s="7"/>
      <c r="K50" s="7"/>
      <c r="L50" s="7"/>
      <c r="M50" s="7"/>
      <c r="N50" s="8"/>
    </row>
    <row r="51" spans="1:14" ht="14.1">
      <c r="A51" s="56"/>
      <c r="B51" s="20"/>
      <c r="C51" s="57"/>
      <c r="D51" s="20"/>
      <c r="E51" s="6"/>
      <c r="F51" s="7"/>
      <c r="G51" s="7"/>
      <c r="H51" s="7"/>
      <c r="I51" s="7"/>
      <c r="J51" s="7"/>
      <c r="K51" s="7"/>
      <c r="L51" s="7"/>
      <c r="M51" s="7"/>
      <c r="N51" s="8"/>
    </row>
    <row r="52" spans="1:14" ht="14.1">
      <c r="A52" s="23"/>
      <c r="B52" s="20"/>
      <c r="C52" s="22"/>
      <c r="D52" s="20"/>
      <c r="E52" s="6"/>
      <c r="F52" s="7"/>
      <c r="G52" s="7"/>
      <c r="H52" s="7"/>
      <c r="I52" s="7"/>
      <c r="J52" s="7"/>
      <c r="K52" s="7"/>
      <c r="L52" s="7"/>
      <c r="M52" s="7"/>
      <c r="N52" s="8"/>
    </row>
    <row r="53" spans="1:14" ht="14.1">
      <c r="A53" s="25"/>
      <c r="B53" s="20"/>
      <c r="C53" s="31"/>
      <c r="D53" s="24"/>
      <c r="E53" s="32" t="s">
        <v>23</v>
      </c>
      <c r="F53" s="33"/>
      <c r="G53" s="33"/>
      <c r="H53" s="33"/>
      <c r="I53" s="34" t="str">
        <f>HYPERLINK("https://www.vertex42.com/calendars/academic-calendar.html","https://www.vertex42.com/calendars/academic-calendar.html")</f>
        <v>https://www.vertex42.com/calendars/academic-calendar.html</v>
      </c>
      <c r="J53" s="33"/>
      <c r="K53" s="33"/>
      <c r="L53" s="33"/>
      <c r="M53" s="33"/>
      <c r="N53" s="24"/>
    </row>
  </sheetData>
  <mergeCells count="284">
    <mergeCell ref="A51:B51"/>
    <mergeCell ref="A52:B52"/>
    <mergeCell ref="C52:D52"/>
    <mergeCell ref="A53:B53"/>
    <mergeCell ref="C53:D53"/>
    <mergeCell ref="E53:H53"/>
    <mergeCell ref="I53:N53"/>
    <mergeCell ref="A48:B48"/>
    <mergeCell ref="A49:B49"/>
    <mergeCell ref="C49:D49"/>
    <mergeCell ref="E49:N49"/>
    <mergeCell ref="A50:B50"/>
    <mergeCell ref="C50:D50"/>
    <mergeCell ref="C51:D51"/>
    <mergeCell ref="A43:B43"/>
    <mergeCell ref="C43:D43"/>
    <mergeCell ref="E43:F43"/>
    <mergeCell ref="G43:H43"/>
    <mergeCell ref="I43:J43"/>
    <mergeCell ref="K43:L43"/>
    <mergeCell ref="M43:N43"/>
    <mergeCell ref="A44:B44"/>
    <mergeCell ref="C44:D44"/>
    <mergeCell ref="E44:F44"/>
    <mergeCell ref="G44:H44"/>
    <mergeCell ref="I44:J44"/>
    <mergeCell ref="K44:L44"/>
    <mergeCell ref="M44:N44"/>
    <mergeCell ref="K41:L41"/>
    <mergeCell ref="M41:N41"/>
    <mergeCell ref="A42:B42"/>
    <mergeCell ref="C42:D42"/>
    <mergeCell ref="E42:F42"/>
    <mergeCell ref="G42:H42"/>
    <mergeCell ref="I42:J42"/>
    <mergeCell ref="K42:L42"/>
    <mergeCell ref="M42:N42"/>
    <mergeCell ref="A47:B47"/>
    <mergeCell ref="C47:D47"/>
    <mergeCell ref="E47:N47"/>
    <mergeCell ref="C48:D48"/>
    <mergeCell ref="E48:N48"/>
    <mergeCell ref="A39:B39"/>
    <mergeCell ref="C39:D39"/>
    <mergeCell ref="E39:F39"/>
    <mergeCell ref="G39:H39"/>
    <mergeCell ref="I39:J39"/>
    <mergeCell ref="K39:L39"/>
    <mergeCell ref="M39:N39"/>
    <mergeCell ref="A40:B40"/>
    <mergeCell ref="C40:D40"/>
    <mergeCell ref="E40:F40"/>
    <mergeCell ref="G40:H40"/>
    <mergeCell ref="I40:J40"/>
    <mergeCell ref="K40:L40"/>
    <mergeCell ref="M40:N40"/>
    <mergeCell ref="A41:B41"/>
    <mergeCell ref="C41:D41"/>
    <mergeCell ref="E41:F41"/>
    <mergeCell ref="G41:H41"/>
    <mergeCell ref="I41:J41"/>
    <mergeCell ref="A45:B45"/>
    <mergeCell ref="C45:D45"/>
    <mergeCell ref="E45:F45"/>
    <mergeCell ref="G45:H45"/>
    <mergeCell ref="I45:J45"/>
    <mergeCell ref="K45:L45"/>
    <mergeCell ref="M45:N45"/>
    <mergeCell ref="E46:F46"/>
    <mergeCell ref="G46:N46"/>
    <mergeCell ref="A36:B36"/>
    <mergeCell ref="C36:D36"/>
    <mergeCell ref="E36:F36"/>
    <mergeCell ref="G36:H36"/>
    <mergeCell ref="I36:J36"/>
    <mergeCell ref="K36:L36"/>
    <mergeCell ref="M36:N36"/>
    <mergeCell ref="A37:B37"/>
    <mergeCell ref="C37:D37"/>
    <mergeCell ref="E37:F37"/>
    <mergeCell ref="G37:H37"/>
    <mergeCell ref="I37:J37"/>
    <mergeCell ref="K37:L37"/>
    <mergeCell ref="M37:N37"/>
    <mergeCell ref="A34:B34"/>
    <mergeCell ref="C34:D34"/>
    <mergeCell ref="E34:F34"/>
    <mergeCell ref="G34:H34"/>
    <mergeCell ref="I34:J34"/>
    <mergeCell ref="K34:L34"/>
    <mergeCell ref="M34:N34"/>
    <mergeCell ref="A35:B35"/>
    <mergeCell ref="C35:D35"/>
    <mergeCell ref="E35:F35"/>
    <mergeCell ref="G35:H35"/>
    <mergeCell ref="I35:J35"/>
    <mergeCell ref="K35:L35"/>
    <mergeCell ref="M35:N35"/>
    <mergeCell ref="A32:B32"/>
    <mergeCell ref="C32:D32"/>
    <mergeCell ref="E32:F32"/>
    <mergeCell ref="G32:H32"/>
    <mergeCell ref="I32:J32"/>
    <mergeCell ref="K32:L32"/>
    <mergeCell ref="M32:N32"/>
    <mergeCell ref="A33:B33"/>
    <mergeCell ref="C33:D33"/>
    <mergeCell ref="E33:F33"/>
    <mergeCell ref="G33:H33"/>
    <mergeCell ref="I33:J33"/>
    <mergeCell ref="K33:L33"/>
    <mergeCell ref="M33:N33"/>
    <mergeCell ref="A29:B29"/>
    <mergeCell ref="C29:D29"/>
    <mergeCell ref="E29:F29"/>
    <mergeCell ref="G29:H29"/>
    <mergeCell ref="I29:J29"/>
    <mergeCell ref="K29:L29"/>
    <mergeCell ref="M29:N29"/>
    <mergeCell ref="A31:B31"/>
    <mergeCell ref="C31:D31"/>
    <mergeCell ref="E31:F31"/>
    <mergeCell ref="G31:H31"/>
    <mergeCell ref="I31:J31"/>
    <mergeCell ref="K31:L31"/>
    <mergeCell ref="M31:N31"/>
    <mergeCell ref="A27:B27"/>
    <mergeCell ref="C27:D27"/>
    <mergeCell ref="E27:F27"/>
    <mergeCell ref="G27:H27"/>
    <mergeCell ref="I27:J27"/>
    <mergeCell ref="K27:L27"/>
    <mergeCell ref="M27:N27"/>
    <mergeCell ref="A28:B28"/>
    <mergeCell ref="C28:D28"/>
    <mergeCell ref="E28:F28"/>
    <mergeCell ref="G28:H28"/>
    <mergeCell ref="I28:J28"/>
    <mergeCell ref="K28:L28"/>
    <mergeCell ref="M28:N28"/>
    <mergeCell ref="A25:B25"/>
    <mergeCell ref="C25:D25"/>
    <mergeCell ref="E25:F25"/>
    <mergeCell ref="G25:H25"/>
    <mergeCell ref="I25:J25"/>
    <mergeCell ref="K25:L25"/>
    <mergeCell ref="M25:N25"/>
    <mergeCell ref="A26:B26"/>
    <mergeCell ref="C26:D26"/>
    <mergeCell ref="E26:F26"/>
    <mergeCell ref="G26:H26"/>
    <mergeCell ref="I26:J26"/>
    <mergeCell ref="K26:L26"/>
    <mergeCell ref="M26:N26"/>
    <mergeCell ref="A23:B23"/>
    <mergeCell ref="C23:D23"/>
    <mergeCell ref="E23:F23"/>
    <mergeCell ref="G23:H23"/>
    <mergeCell ref="I23:J23"/>
    <mergeCell ref="K23:L23"/>
    <mergeCell ref="M23:N23"/>
    <mergeCell ref="A24:B24"/>
    <mergeCell ref="C24:D24"/>
    <mergeCell ref="E24:F24"/>
    <mergeCell ref="G24:H24"/>
    <mergeCell ref="I24:J24"/>
    <mergeCell ref="K24:L24"/>
    <mergeCell ref="M24:N24"/>
    <mergeCell ref="A20:B20"/>
    <mergeCell ref="C20:D20"/>
    <mergeCell ref="E20:F20"/>
    <mergeCell ref="G20:H20"/>
    <mergeCell ref="I20:J20"/>
    <mergeCell ref="K20:L20"/>
    <mergeCell ref="M20:N20"/>
    <mergeCell ref="A21:B21"/>
    <mergeCell ref="C21:D21"/>
    <mergeCell ref="E21:F21"/>
    <mergeCell ref="G21:H21"/>
    <mergeCell ref="I21:J21"/>
    <mergeCell ref="K21:L21"/>
    <mergeCell ref="M21:N21"/>
    <mergeCell ref="A18:B18"/>
    <mergeCell ref="C18:D18"/>
    <mergeCell ref="E18:F18"/>
    <mergeCell ref="G18:H18"/>
    <mergeCell ref="I18:J18"/>
    <mergeCell ref="K18:L18"/>
    <mergeCell ref="M18:N18"/>
    <mergeCell ref="A19:B19"/>
    <mergeCell ref="C19:D19"/>
    <mergeCell ref="E19:F19"/>
    <mergeCell ref="G19:H19"/>
    <mergeCell ref="I19:J19"/>
    <mergeCell ref="K19:L19"/>
    <mergeCell ref="M19:N19"/>
    <mergeCell ref="A16:B16"/>
    <mergeCell ref="C16:D16"/>
    <mergeCell ref="E16:F16"/>
    <mergeCell ref="G16:H16"/>
    <mergeCell ref="I16:J16"/>
    <mergeCell ref="K16:L16"/>
    <mergeCell ref="M16:N16"/>
    <mergeCell ref="A17:B17"/>
    <mergeCell ref="C17:D17"/>
    <mergeCell ref="E17:F17"/>
    <mergeCell ref="G17:H17"/>
    <mergeCell ref="I17:J17"/>
    <mergeCell ref="K17:L17"/>
    <mergeCell ref="M17:N17"/>
    <mergeCell ref="A13:B13"/>
    <mergeCell ref="C13:D13"/>
    <mergeCell ref="E13:F13"/>
    <mergeCell ref="G13:H13"/>
    <mergeCell ref="I13:J13"/>
    <mergeCell ref="K13:L13"/>
    <mergeCell ref="M13:N13"/>
    <mergeCell ref="A15:B15"/>
    <mergeCell ref="C15:D15"/>
    <mergeCell ref="E15:F15"/>
    <mergeCell ref="G15:H15"/>
    <mergeCell ref="I15:J15"/>
    <mergeCell ref="K15:L15"/>
    <mergeCell ref="M15:N15"/>
    <mergeCell ref="K3:L3"/>
    <mergeCell ref="A7:B7"/>
    <mergeCell ref="C7:D7"/>
    <mergeCell ref="E7:F7"/>
    <mergeCell ref="G7:H7"/>
    <mergeCell ref="I7:J7"/>
    <mergeCell ref="K7:L7"/>
    <mergeCell ref="M7:N7"/>
    <mergeCell ref="A8:B8"/>
    <mergeCell ref="C8:D8"/>
    <mergeCell ref="E8:F8"/>
    <mergeCell ref="G8:H8"/>
    <mergeCell ref="I8:J8"/>
    <mergeCell ref="K8:L8"/>
    <mergeCell ref="M8:N8"/>
    <mergeCell ref="A1:B1"/>
    <mergeCell ref="K1:N1"/>
    <mergeCell ref="A2:N2"/>
    <mergeCell ref="A3:B3"/>
    <mergeCell ref="C3:D3"/>
    <mergeCell ref="E3:F3"/>
    <mergeCell ref="G3:H3"/>
    <mergeCell ref="A11:B11"/>
    <mergeCell ref="C11:D11"/>
    <mergeCell ref="E11:F11"/>
    <mergeCell ref="G11:H11"/>
    <mergeCell ref="I11:J11"/>
    <mergeCell ref="K11:L11"/>
    <mergeCell ref="M11:N11"/>
    <mergeCell ref="K5:L5"/>
    <mergeCell ref="M5:N5"/>
    <mergeCell ref="M3:N3"/>
    <mergeCell ref="A4:N4"/>
    <mergeCell ref="A5:B5"/>
    <mergeCell ref="C5:D5"/>
    <mergeCell ref="E5:F5"/>
    <mergeCell ref="G5:H5"/>
    <mergeCell ref="I5:J5"/>
    <mergeCell ref="I3:J3"/>
    <mergeCell ref="A12:B12"/>
    <mergeCell ref="C12:D12"/>
    <mergeCell ref="E12:F12"/>
    <mergeCell ref="G12:H12"/>
    <mergeCell ref="I12:J12"/>
    <mergeCell ref="K12:L12"/>
    <mergeCell ref="M12:N12"/>
    <mergeCell ref="A9:B9"/>
    <mergeCell ref="C9:D9"/>
    <mergeCell ref="E9:F9"/>
    <mergeCell ref="G9:H9"/>
    <mergeCell ref="I9:J9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</mergeCells>
  <printOptions horizontalCentered="1" gridLines="1"/>
  <pageMargins left="0.25" right="0.25" top="0.5" bottom="0.5" header="0" footer="0"/>
  <pageSetup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N53"/>
  <sheetViews>
    <sheetView showGridLines="0" topLeftCell="A2" workbookViewId="0"/>
  </sheetViews>
  <sheetFormatPr defaultColWidth="12.5703125" defaultRowHeight="12.75" customHeight="1"/>
  <cols>
    <col min="1" max="1" width="3.85546875" customWidth="1"/>
    <col min="2" max="2" width="13.42578125" customWidth="1"/>
    <col min="3" max="3" width="3.85546875" customWidth="1"/>
    <col min="4" max="4" width="13.42578125" customWidth="1"/>
    <col min="5" max="5" width="3.85546875" customWidth="1"/>
    <col min="6" max="6" width="13.42578125" customWidth="1"/>
    <col min="7" max="7" width="3.85546875" customWidth="1"/>
    <col min="8" max="8" width="13.42578125" customWidth="1"/>
    <col min="9" max="9" width="3.85546875" customWidth="1"/>
    <col min="10" max="10" width="13.42578125" customWidth="1"/>
    <col min="11" max="11" width="3.85546875" customWidth="1"/>
    <col min="12" max="12" width="13.42578125" customWidth="1"/>
    <col min="13" max="13" width="3.85546875" customWidth="1"/>
    <col min="14" max="14" width="13.42578125" customWidth="1"/>
  </cols>
  <sheetData>
    <row r="1" spans="1:14" ht="12.6" hidden="1">
      <c r="A1" s="36">
        <f>EDATE('©'!A17,9)</f>
        <v>45383</v>
      </c>
      <c r="B1" s="37"/>
      <c r="C1" s="1"/>
      <c r="D1" s="1"/>
      <c r="E1" s="1"/>
      <c r="F1" s="1"/>
      <c r="G1" s="1"/>
      <c r="H1" s="1"/>
      <c r="I1" s="1"/>
      <c r="J1" s="1"/>
      <c r="K1" s="38" t="s">
        <v>0</v>
      </c>
      <c r="L1" s="37"/>
      <c r="M1" s="37"/>
      <c r="N1" s="37"/>
    </row>
    <row r="2" spans="1:14" ht="18" customHeight="1">
      <c r="A2" s="39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1:14" ht="18" customHeight="1">
      <c r="A3" s="29" t="s">
        <v>2</v>
      </c>
      <c r="B3" s="37"/>
      <c r="C3" s="27" t="s">
        <v>3</v>
      </c>
      <c r="D3" s="37"/>
      <c r="E3" s="19" t="s">
        <v>4</v>
      </c>
      <c r="F3" s="37"/>
      <c r="G3" s="21" t="s">
        <v>5</v>
      </c>
      <c r="H3" s="37"/>
      <c r="I3" s="56" t="s">
        <v>6</v>
      </c>
      <c r="J3" s="37"/>
      <c r="K3" s="23" t="s">
        <v>7</v>
      </c>
      <c r="L3" s="37"/>
      <c r="M3" s="25" t="s">
        <v>8</v>
      </c>
      <c r="N3" s="37"/>
    </row>
    <row r="4" spans="1:14" ht="60.75" customHeight="1">
      <c r="A4" s="42" t="str">
        <f>UPPER(TEXT(A1,"mmmm yyyy"))</f>
        <v>APRIL 2024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</row>
    <row r="5" spans="1:14" ht="15" customHeight="1">
      <c r="A5" s="40">
        <f>A14</f>
        <v>45390</v>
      </c>
      <c r="B5" s="41"/>
      <c r="C5" s="40">
        <f>C14</f>
        <v>45391</v>
      </c>
      <c r="D5" s="41"/>
      <c r="E5" s="40">
        <f>E14</f>
        <v>45392</v>
      </c>
      <c r="F5" s="41"/>
      <c r="G5" s="40">
        <f>G14</f>
        <v>45393</v>
      </c>
      <c r="H5" s="41"/>
      <c r="I5" s="40">
        <f>I14</f>
        <v>45394</v>
      </c>
      <c r="J5" s="41"/>
      <c r="K5" s="40">
        <f>K14</f>
        <v>45395</v>
      </c>
      <c r="L5" s="41"/>
      <c r="M5" s="40">
        <f>M14</f>
        <v>45396</v>
      </c>
      <c r="N5" s="41"/>
    </row>
    <row r="6" spans="1:14" ht="18" customHeight="1">
      <c r="A6" s="2">
        <f>IF(WEEKDAY($A$1,1)=startday,$A$1,"")</f>
        <v>45383</v>
      </c>
      <c r="B6" s="3"/>
      <c r="C6" s="2">
        <f>IF(A6="",IF(WEEKDAY($A$1,1)=MOD(startday,7)+1,$A$1,""),A6+1)</f>
        <v>45384</v>
      </c>
      <c r="D6" s="3"/>
      <c r="E6" s="2">
        <f>IF(C6="",IF(WEEKDAY($A$1,1)=MOD(startday,7)+2,$A$1,""),C6+1)</f>
        <v>45385</v>
      </c>
      <c r="F6" s="3"/>
      <c r="G6" s="2">
        <f>IF(E6="",IF(WEEKDAY($A$1,1)=MOD(startday,7)+3,$A$1,""),E6+1)</f>
        <v>45386</v>
      </c>
      <c r="H6" s="3"/>
      <c r="I6" s="2">
        <f>IF(G6="",IF(WEEKDAY($A$1,1)=MOD(startday,7)+4,$A$1,""),G6+1)</f>
        <v>45387</v>
      </c>
      <c r="J6" s="3"/>
      <c r="K6" s="4">
        <f>IF(I6="",IF(WEEKDAY($A$1,1)=MOD(startday,7)+5,$A$1,""),I6+1)</f>
        <v>45388</v>
      </c>
      <c r="L6" s="5"/>
      <c r="M6" s="4">
        <f>IF(K6="",IF(WEEKDAY($A$1,1)=MOD(startday+5,7)+1,$A$1,""),K6+1)</f>
        <v>45389</v>
      </c>
      <c r="N6" s="5"/>
    </row>
    <row r="7" spans="1:14" ht="14.1">
      <c r="A7" s="29"/>
      <c r="B7" s="20"/>
      <c r="C7" s="44"/>
      <c r="D7" s="20"/>
      <c r="E7" s="29"/>
      <c r="F7" s="20"/>
      <c r="G7" s="44" t="s">
        <v>11</v>
      </c>
      <c r="H7" s="20"/>
      <c r="I7" s="44" t="s">
        <v>49</v>
      </c>
      <c r="J7" s="20"/>
      <c r="K7" s="44" t="s">
        <v>50</v>
      </c>
      <c r="L7" s="20"/>
      <c r="M7" s="44" t="s">
        <v>50</v>
      </c>
      <c r="N7" s="20"/>
    </row>
    <row r="8" spans="1:14" ht="14.1">
      <c r="A8" s="27"/>
      <c r="B8" s="20"/>
      <c r="C8" s="26"/>
      <c r="D8" s="20"/>
      <c r="E8" s="27"/>
      <c r="F8" s="20"/>
      <c r="G8" s="26" t="s">
        <v>42</v>
      </c>
      <c r="H8" s="20"/>
      <c r="I8" s="26" t="s">
        <v>51</v>
      </c>
      <c r="J8" s="20"/>
      <c r="K8" s="26" t="s">
        <v>51</v>
      </c>
      <c r="L8" s="20"/>
      <c r="M8" s="26" t="s">
        <v>51</v>
      </c>
      <c r="N8" s="20"/>
    </row>
    <row r="9" spans="1:14" ht="14.1">
      <c r="A9" s="19"/>
      <c r="B9" s="20"/>
      <c r="C9" s="35"/>
      <c r="D9" s="20"/>
      <c r="E9" s="19"/>
      <c r="F9" s="20"/>
      <c r="G9" s="35" t="s">
        <v>9</v>
      </c>
      <c r="H9" s="20"/>
      <c r="I9" s="35" t="s">
        <v>14</v>
      </c>
      <c r="J9" s="20"/>
      <c r="K9" s="35" t="s">
        <v>13</v>
      </c>
      <c r="L9" s="20"/>
      <c r="M9" s="35" t="s">
        <v>13</v>
      </c>
      <c r="N9" s="20"/>
    </row>
    <row r="10" spans="1:14" ht="14.1">
      <c r="A10" s="21"/>
      <c r="B10" s="20"/>
      <c r="C10" s="30"/>
      <c r="D10" s="20"/>
      <c r="E10" s="21"/>
      <c r="F10" s="20"/>
      <c r="G10" s="30" t="s">
        <v>15</v>
      </c>
      <c r="H10" s="20"/>
      <c r="I10" s="30" t="s">
        <v>15</v>
      </c>
      <c r="J10" s="20"/>
      <c r="K10" s="30" t="s">
        <v>15</v>
      </c>
      <c r="L10" s="20"/>
      <c r="M10" s="30" t="s">
        <v>15</v>
      </c>
      <c r="N10" s="20"/>
    </row>
    <row r="11" spans="1:14" ht="14.1">
      <c r="A11" s="56"/>
      <c r="B11" s="20"/>
      <c r="C11" s="57"/>
      <c r="D11" s="20"/>
      <c r="E11" s="56"/>
      <c r="F11" s="20"/>
      <c r="G11" s="57" t="s">
        <v>25</v>
      </c>
      <c r="H11" s="20"/>
      <c r="I11" s="57" t="s">
        <v>25</v>
      </c>
      <c r="J11" s="20"/>
      <c r="K11" s="57" t="s">
        <v>25</v>
      </c>
      <c r="L11" s="20"/>
      <c r="M11" s="57" t="s">
        <v>25</v>
      </c>
      <c r="N11" s="20"/>
    </row>
    <row r="12" spans="1:14" ht="14.1">
      <c r="A12" s="23"/>
      <c r="B12" s="20"/>
      <c r="C12" s="22"/>
      <c r="D12" s="20"/>
      <c r="E12" s="23"/>
      <c r="F12" s="20"/>
      <c r="G12" s="22" t="s">
        <v>27</v>
      </c>
      <c r="H12" s="20"/>
      <c r="I12" s="22" t="s">
        <v>26</v>
      </c>
      <c r="J12" s="20"/>
      <c r="K12" s="22" t="s">
        <v>26</v>
      </c>
      <c r="L12" s="20"/>
      <c r="M12" s="22" t="s">
        <v>26</v>
      </c>
      <c r="N12" s="20"/>
    </row>
    <row r="13" spans="1:14" ht="18" customHeight="1">
      <c r="A13" s="25"/>
      <c r="B13" s="20"/>
      <c r="C13" s="31"/>
      <c r="D13" s="24"/>
      <c r="E13" s="25"/>
      <c r="F13" s="20"/>
      <c r="G13" s="31" t="s">
        <v>30</v>
      </c>
      <c r="H13" s="24"/>
      <c r="I13" s="31" t="s">
        <v>29</v>
      </c>
      <c r="J13" s="24"/>
      <c r="K13" s="31" t="s">
        <v>41</v>
      </c>
      <c r="L13" s="24"/>
      <c r="M13" s="31" t="s">
        <v>41</v>
      </c>
      <c r="N13" s="24"/>
    </row>
    <row r="14" spans="1:14" ht="18" customHeight="1">
      <c r="A14" s="2">
        <f>M6+1</f>
        <v>45390</v>
      </c>
      <c r="B14" s="3"/>
      <c r="C14" s="2">
        <f>A14+1</f>
        <v>45391</v>
      </c>
      <c r="D14" s="3"/>
      <c r="E14" s="2">
        <f>C14+1</f>
        <v>45392</v>
      </c>
      <c r="F14" s="3"/>
      <c r="G14" s="2">
        <f>E14+1</f>
        <v>45393</v>
      </c>
      <c r="H14" s="3"/>
      <c r="I14" s="2">
        <f>G14+1</f>
        <v>45394</v>
      </c>
      <c r="J14" s="3"/>
      <c r="K14" s="4">
        <f>I14+1</f>
        <v>45395</v>
      </c>
      <c r="L14" s="5"/>
      <c r="M14" s="4">
        <f>K14+1</f>
        <v>45396</v>
      </c>
      <c r="N14" s="5"/>
    </row>
    <row r="15" spans="1:14" ht="14.1">
      <c r="A15" s="29" t="s">
        <v>50</v>
      </c>
      <c r="B15" s="20"/>
      <c r="C15" s="29" t="s">
        <v>50</v>
      </c>
      <c r="D15" s="20"/>
      <c r="E15" s="29" t="s">
        <v>52</v>
      </c>
      <c r="F15" s="20"/>
      <c r="G15" s="29" t="s">
        <v>50</v>
      </c>
      <c r="H15" s="20"/>
      <c r="I15" s="44" t="s">
        <v>31</v>
      </c>
      <c r="J15" s="20"/>
      <c r="K15" s="44" t="s">
        <v>53</v>
      </c>
      <c r="L15" s="20"/>
      <c r="M15" s="44" t="s">
        <v>9</v>
      </c>
      <c r="N15" s="20"/>
    </row>
    <row r="16" spans="1:14" ht="14.1">
      <c r="A16" s="27" t="s">
        <v>51</v>
      </c>
      <c r="B16" s="20"/>
      <c r="C16" s="27" t="s">
        <v>51</v>
      </c>
      <c r="D16" s="20"/>
      <c r="E16" s="27" t="s">
        <v>51</v>
      </c>
      <c r="F16" s="20"/>
      <c r="G16" s="27" t="s">
        <v>51</v>
      </c>
      <c r="H16" s="20"/>
      <c r="I16" s="26" t="s">
        <v>54</v>
      </c>
      <c r="J16" s="20"/>
      <c r="K16" s="26" t="s">
        <v>54</v>
      </c>
      <c r="L16" s="20"/>
      <c r="M16" s="26" t="s">
        <v>54</v>
      </c>
      <c r="N16" s="20"/>
    </row>
    <row r="17" spans="1:14" ht="14.1">
      <c r="A17" s="19" t="s">
        <v>13</v>
      </c>
      <c r="B17" s="20"/>
      <c r="C17" s="19" t="s">
        <v>13</v>
      </c>
      <c r="D17" s="20"/>
      <c r="E17" s="19" t="s">
        <v>55</v>
      </c>
      <c r="F17" s="20"/>
      <c r="G17" s="19" t="s">
        <v>13</v>
      </c>
      <c r="H17" s="20"/>
      <c r="I17" s="19" t="s">
        <v>14</v>
      </c>
      <c r="J17" s="20"/>
      <c r="K17" s="35" t="s">
        <v>40</v>
      </c>
      <c r="L17" s="20"/>
      <c r="M17" s="35" t="s">
        <v>40</v>
      </c>
      <c r="N17" s="20"/>
    </row>
    <row r="18" spans="1:14" ht="14.1">
      <c r="A18" s="21" t="s">
        <v>24</v>
      </c>
      <c r="B18" s="20"/>
      <c r="C18" s="21" t="s">
        <v>24</v>
      </c>
      <c r="D18" s="20"/>
      <c r="E18" s="21" t="s">
        <v>24</v>
      </c>
      <c r="F18" s="20"/>
      <c r="G18" s="21" t="s">
        <v>24</v>
      </c>
      <c r="H18" s="20"/>
      <c r="I18" s="21" t="s">
        <v>24</v>
      </c>
      <c r="J18" s="20"/>
      <c r="K18" s="21" t="s">
        <v>24</v>
      </c>
      <c r="L18" s="20"/>
      <c r="M18" s="21" t="s">
        <v>24</v>
      </c>
      <c r="N18" s="20"/>
    </row>
    <row r="19" spans="1:14" ht="14.1">
      <c r="A19" s="56" t="s">
        <v>16</v>
      </c>
      <c r="B19" s="20"/>
      <c r="C19" s="56" t="s">
        <v>16</v>
      </c>
      <c r="D19" s="20"/>
      <c r="E19" s="56" t="s">
        <v>16</v>
      </c>
      <c r="F19" s="20"/>
      <c r="G19" s="56" t="s">
        <v>16</v>
      </c>
      <c r="H19" s="20"/>
      <c r="I19" s="56" t="s">
        <v>16</v>
      </c>
      <c r="J19" s="20"/>
      <c r="K19" s="56" t="s">
        <v>16</v>
      </c>
      <c r="L19" s="20"/>
      <c r="M19" s="56" t="s">
        <v>16</v>
      </c>
      <c r="N19" s="20"/>
    </row>
    <row r="20" spans="1:14" ht="14.1">
      <c r="A20" s="23" t="s">
        <v>27</v>
      </c>
      <c r="B20" s="20"/>
      <c r="C20" s="22" t="s">
        <v>27</v>
      </c>
      <c r="D20" s="20"/>
      <c r="E20" s="23" t="s">
        <v>27</v>
      </c>
      <c r="F20" s="20"/>
      <c r="G20" s="22" t="s">
        <v>27</v>
      </c>
      <c r="H20" s="20"/>
      <c r="I20" s="22" t="s">
        <v>26</v>
      </c>
      <c r="J20" s="20"/>
      <c r="K20" s="22" t="s">
        <v>26</v>
      </c>
      <c r="L20" s="20"/>
      <c r="M20" s="22" t="s">
        <v>26</v>
      </c>
      <c r="N20" s="20"/>
    </row>
    <row r="21" spans="1:14" ht="18" customHeight="1">
      <c r="A21" s="25" t="s">
        <v>30</v>
      </c>
      <c r="B21" s="20"/>
      <c r="C21" s="25" t="s">
        <v>30</v>
      </c>
      <c r="D21" s="20"/>
      <c r="E21" s="25" t="s">
        <v>30</v>
      </c>
      <c r="F21" s="20"/>
      <c r="G21" s="25" t="s">
        <v>30</v>
      </c>
      <c r="H21" s="20"/>
      <c r="I21" s="25" t="s">
        <v>56</v>
      </c>
      <c r="J21" s="20"/>
      <c r="K21" s="25" t="s">
        <v>57</v>
      </c>
      <c r="L21" s="20"/>
      <c r="M21" s="25" t="s">
        <v>58</v>
      </c>
      <c r="N21" s="20"/>
    </row>
    <row r="22" spans="1:14" ht="18" customHeight="1">
      <c r="A22" s="2">
        <f>M14+1</f>
        <v>45397</v>
      </c>
      <c r="B22" s="3"/>
      <c r="C22" s="2">
        <f>A22+1</f>
        <v>45398</v>
      </c>
      <c r="D22" s="3"/>
      <c r="E22" s="2">
        <f>C22+1</f>
        <v>45399</v>
      </c>
      <c r="F22" s="3"/>
      <c r="G22" s="2">
        <f>E22+1</f>
        <v>45400</v>
      </c>
      <c r="H22" s="3"/>
      <c r="I22" s="2">
        <f>G22+1</f>
        <v>45401</v>
      </c>
      <c r="J22" s="3"/>
      <c r="K22" s="4">
        <f>I22+1</f>
        <v>45402</v>
      </c>
      <c r="L22" s="5"/>
      <c r="M22" s="4">
        <f>K22+1</f>
        <v>45403</v>
      </c>
      <c r="N22" s="5"/>
    </row>
    <row r="23" spans="1:14" ht="14.1">
      <c r="A23" s="29" t="s">
        <v>45</v>
      </c>
      <c r="B23" s="20"/>
      <c r="C23" s="44" t="s">
        <v>9</v>
      </c>
      <c r="D23" s="20"/>
      <c r="E23" s="29" t="s">
        <v>9</v>
      </c>
      <c r="F23" s="20"/>
      <c r="G23" s="44" t="s">
        <v>9</v>
      </c>
      <c r="H23" s="20"/>
      <c r="I23" s="44" t="s">
        <v>24</v>
      </c>
      <c r="J23" s="20"/>
      <c r="K23" s="44" t="s">
        <v>24</v>
      </c>
      <c r="L23" s="20"/>
      <c r="M23" s="44" t="s">
        <v>24</v>
      </c>
      <c r="N23" s="20"/>
    </row>
    <row r="24" spans="1:14" ht="14.1">
      <c r="A24" s="27" t="s">
        <v>54</v>
      </c>
      <c r="B24" s="20"/>
      <c r="C24" s="26" t="s">
        <v>54</v>
      </c>
      <c r="D24" s="20"/>
      <c r="E24" s="26" t="s">
        <v>54</v>
      </c>
      <c r="F24" s="20"/>
      <c r="G24" s="26" t="s">
        <v>54</v>
      </c>
      <c r="H24" s="20"/>
      <c r="I24" s="26" t="s">
        <v>59</v>
      </c>
      <c r="J24" s="20"/>
      <c r="K24" s="26" t="s">
        <v>59</v>
      </c>
      <c r="L24" s="20"/>
      <c r="M24" s="26" t="s">
        <v>59</v>
      </c>
      <c r="N24" s="20"/>
    </row>
    <row r="25" spans="1:14" ht="14.1">
      <c r="A25" s="19" t="s">
        <v>39</v>
      </c>
      <c r="B25" s="20"/>
      <c r="C25" s="35" t="s">
        <v>11</v>
      </c>
      <c r="D25" s="20"/>
      <c r="E25" s="19" t="s">
        <v>39</v>
      </c>
      <c r="F25" s="20"/>
      <c r="G25" s="35" t="s">
        <v>40</v>
      </c>
      <c r="H25" s="20"/>
      <c r="I25" s="35" t="s">
        <v>40</v>
      </c>
      <c r="J25" s="20"/>
      <c r="K25" s="35" t="s">
        <v>60</v>
      </c>
      <c r="L25" s="20"/>
      <c r="M25" s="35" t="s">
        <v>60</v>
      </c>
      <c r="N25" s="20"/>
    </row>
    <row r="26" spans="1:14" ht="14.1">
      <c r="A26" s="21" t="s">
        <v>15</v>
      </c>
      <c r="B26" s="20"/>
      <c r="C26" s="21" t="s">
        <v>15</v>
      </c>
      <c r="D26" s="20"/>
      <c r="E26" s="21" t="s">
        <v>15</v>
      </c>
      <c r="F26" s="20"/>
      <c r="G26" s="21" t="s">
        <v>15</v>
      </c>
      <c r="H26" s="20"/>
      <c r="I26" s="21" t="s">
        <v>15</v>
      </c>
      <c r="J26" s="20"/>
      <c r="K26" s="21" t="s">
        <v>15</v>
      </c>
      <c r="L26" s="20"/>
      <c r="M26" s="21" t="s">
        <v>15</v>
      </c>
      <c r="N26" s="20"/>
    </row>
    <row r="27" spans="1:14" ht="14.1">
      <c r="A27" s="56" t="s">
        <v>13</v>
      </c>
      <c r="B27" s="20"/>
      <c r="C27" s="56" t="s">
        <v>13</v>
      </c>
      <c r="D27" s="20"/>
      <c r="E27" s="56" t="s">
        <v>13</v>
      </c>
      <c r="F27" s="20"/>
      <c r="G27" s="56" t="s">
        <v>13</v>
      </c>
      <c r="H27" s="20"/>
      <c r="I27" s="56" t="s">
        <v>13</v>
      </c>
      <c r="J27" s="20"/>
      <c r="K27" s="56" t="s">
        <v>13</v>
      </c>
      <c r="L27" s="20"/>
      <c r="M27" s="56" t="s">
        <v>13</v>
      </c>
      <c r="N27" s="20"/>
    </row>
    <row r="28" spans="1:14" ht="14.1">
      <c r="A28" s="23" t="s">
        <v>27</v>
      </c>
      <c r="B28" s="20"/>
      <c r="C28" s="22" t="s">
        <v>27</v>
      </c>
      <c r="D28" s="20"/>
      <c r="E28" s="23" t="s">
        <v>28</v>
      </c>
      <c r="F28" s="20"/>
      <c r="G28" s="23" t="s">
        <v>17</v>
      </c>
      <c r="H28" s="20"/>
      <c r="I28" s="23" t="s">
        <v>28</v>
      </c>
      <c r="J28" s="20"/>
      <c r="K28" s="23" t="s">
        <v>36</v>
      </c>
      <c r="L28" s="20"/>
      <c r="M28" s="23" t="s">
        <v>36</v>
      </c>
      <c r="N28" s="20"/>
    </row>
    <row r="29" spans="1:14" ht="18" customHeight="1">
      <c r="A29" s="25" t="s">
        <v>50</v>
      </c>
      <c r="B29" s="20"/>
      <c r="C29" s="25" t="s">
        <v>50</v>
      </c>
      <c r="D29" s="20"/>
      <c r="E29" s="25" t="s">
        <v>50</v>
      </c>
      <c r="F29" s="20"/>
      <c r="G29" s="25" t="s">
        <v>61</v>
      </c>
      <c r="H29" s="20"/>
      <c r="I29" s="25" t="s">
        <v>50</v>
      </c>
      <c r="J29" s="20"/>
      <c r="K29" s="25" t="s">
        <v>50</v>
      </c>
      <c r="L29" s="20"/>
      <c r="M29" s="25" t="s">
        <v>50</v>
      </c>
      <c r="N29" s="20"/>
    </row>
    <row r="30" spans="1:14" ht="18" customHeight="1">
      <c r="A30" s="2">
        <f>M22+1</f>
        <v>45404</v>
      </c>
      <c r="B30" s="3"/>
      <c r="C30" s="2">
        <f>A30+1</f>
        <v>45405</v>
      </c>
      <c r="D30" s="3"/>
      <c r="E30" s="2">
        <f>C30+1</f>
        <v>45406</v>
      </c>
      <c r="F30" s="3"/>
      <c r="G30" s="2">
        <f>E30+1</f>
        <v>45407</v>
      </c>
      <c r="H30" s="3"/>
      <c r="I30" s="2">
        <f>G30+1</f>
        <v>45408</v>
      </c>
      <c r="J30" s="3"/>
      <c r="K30" s="4">
        <f>I30+1</f>
        <v>45409</v>
      </c>
      <c r="L30" s="5"/>
      <c r="M30" s="4">
        <f>K30+1</f>
        <v>45410</v>
      </c>
      <c r="N30" s="5"/>
    </row>
    <row r="31" spans="1:14" ht="14.1">
      <c r="A31" s="29" t="s">
        <v>24</v>
      </c>
      <c r="B31" s="20"/>
      <c r="C31" s="44" t="s">
        <v>24</v>
      </c>
      <c r="D31" s="20"/>
      <c r="E31" s="44" t="s">
        <v>24</v>
      </c>
      <c r="F31" s="20"/>
      <c r="G31" s="44" t="s">
        <v>24</v>
      </c>
      <c r="H31" s="20"/>
      <c r="I31" s="44" t="s">
        <v>24</v>
      </c>
      <c r="J31" s="20"/>
      <c r="K31" s="44" t="s">
        <v>11</v>
      </c>
      <c r="L31" s="20"/>
      <c r="M31" s="44" t="s">
        <v>11</v>
      </c>
      <c r="N31" s="20"/>
    </row>
    <row r="32" spans="1:14" ht="14.1">
      <c r="A32" s="27" t="s">
        <v>59</v>
      </c>
      <c r="B32" s="20"/>
      <c r="C32" s="27" t="s">
        <v>59</v>
      </c>
      <c r="D32" s="20"/>
      <c r="E32" s="27" t="s">
        <v>59</v>
      </c>
      <c r="F32" s="20"/>
      <c r="G32" s="27" t="s">
        <v>59</v>
      </c>
      <c r="H32" s="20"/>
      <c r="I32" s="26" t="s">
        <v>12</v>
      </c>
      <c r="J32" s="20"/>
      <c r="K32" s="26" t="s">
        <v>12</v>
      </c>
      <c r="L32" s="20"/>
      <c r="M32" s="26" t="s">
        <v>12</v>
      </c>
      <c r="N32" s="20"/>
    </row>
    <row r="33" spans="1:14" ht="14.1">
      <c r="A33" s="19" t="s">
        <v>9</v>
      </c>
      <c r="B33" s="20"/>
      <c r="C33" s="19" t="s">
        <v>9</v>
      </c>
      <c r="D33" s="20"/>
      <c r="E33" s="19" t="s">
        <v>9</v>
      </c>
      <c r="F33" s="20"/>
      <c r="G33" s="19" t="s">
        <v>9</v>
      </c>
      <c r="H33" s="20"/>
      <c r="I33" s="19" t="s">
        <v>9</v>
      </c>
      <c r="J33" s="20"/>
      <c r="K33" s="35" t="s">
        <v>62</v>
      </c>
      <c r="L33" s="20"/>
      <c r="M33" s="35" t="s">
        <v>62</v>
      </c>
      <c r="N33" s="20"/>
    </row>
    <row r="34" spans="1:14" ht="14.1">
      <c r="A34" s="21" t="s">
        <v>24</v>
      </c>
      <c r="B34" s="20"/>
      <c r="C34" s="21" t="s">
        <v>24</v>
      </c>
      <c r="D34" s="20"/>
      <c r="E34" s="21" t="s">
        <v>24</v>
      </c>
      <c r="F34" s="20"/>
      <c r="G34" s="21" t="s">
        <v>24</v>
      </c>
      <c r="H34" s="20"/>
      <c r="I34" s="21" t="s">
        <v>24</v>
      </c>
      <c r="J34" s="20"/>
      <c r="K34" s="21" t="s">
        <v>24</v>
      </c>
      <c r="L34" s="20"/>
      <c r="M34" s="21" t="s">
        <v>24</v>
      </c>
      <c r="N34" s="20"/>
    </row>
    <row r="35" spans="1:14" ht="14.1">
      <c r="A35" s="56" t="s">
        <v>16</v>
      </c>
      <c r="B35" s="20"/>
      <c r="C35" s="56" t="s">
        <v>16</v>
      </c>
      <c r="D35" s="20"/>
      <c r="E35" s="56" t="s">
        <v>16</v>
      </c>
      <c r="F35" s="20"/>
      <c r="G35" s="56" t="s">
        <v>16</v>
      </c>
      <c r="H35" s="20"/>
      <c r="I35" s="56" t="s">
        <v>16</v>
      </c>
      <c r="J35" s="20"/>
      <c r="K35" s="56" t="s">
        <v>16</v>
      </c>
      <c r="L35" s="20"/>
      <c r="M35" s="56" t="s">
        <v>16</v>
      </c>
      <c r="N35" s="20"/>
    </row>
    <row r="36" spans="1:14" ht="14.1">
      <c r="A36" s="23" t="s">
        <v>17</v>
      </c>
      <c r="B36" s="20"/>
      <c r="C36" s="22" t="s">
        <v>17</v>
      </c>
      <c r="D36" s="20"/>
      <c r="E36" s="23" t="s">
        <v>17</v>
      </c>
      <c r="F36" s="20"/>
      <c r="G36" s="22" t="s">
        <v>27</v>
      </c>
      <c r="H36" s="20"/>
      <c r="I36" s="22" t="s">
        <v>26</v>
      </c>
      <c r="J36" s="20"/>
      <c r="K36" s="22" t="s">
        <v>26</v>
      </c>
      <c r="L36" s="20"/>
      <c r="M36" s="22" t="s">
        <v>26</v>
      </c>
      <c r="N36" s="20"/>
    </row>
    <row r="37" spans="1:14" ht="18" customHeight="1">
      <c r="A37" s="25" t="s">
        <v>63</v>
      </c>
      <c r="B37" s="20"/>
      <c r="C37" s="25" t="s">
        <v>63</v>
      </c>
      <c r="D37" s="20"/>
      <c r="E37" s="25" t="s">
        <v>63</v>
      </c>
      <c r="F37" s="20"/>
      <c r="G37" s="25" t="s">
        <v>50</v>
      </c>
      <c r="H37" s="20"/>
      <c r="I37" s="25" t="s">
        <v>64</v>
      </c>
      <c r="J37" s="20"/>
      <c r="K37" s="25" t="s">
        <v>58</v>
      </c>
      <c r="L37" s="20"/>
      <c r="M37" s="25" t="s">
        <v>58</v>
      </c>
      <c r="N37" s="20"/>
    </row>
    <row r="38" spans="1:14" ht="18" customHeight="1">
      <c r="A38" s="2">
        <f>IF(M30="","",IF(MONTH(M30+1)&lt;&gt;MONTH($A$1),"",M30+1))</f>
        <v>45411</v>
      </c>
      <c r="B38" s="3"/>
      <c r="C38" s="2">
        <f>IF(A38="","",IF(MONTH(A38+1)&lt;&gt;MONTH($A$1),"",A38+1))</f>
        <v>45412</v>
      </c>
      <c r="D38" s="3"/>
      <c r="E38" s="2" t="str">
        <f>IF(C38="","",IF(MONTH(C38+1)&lt;&gt;MONTH($A$1),"",C38+1))</f>
        <v/>
      </c>
      <c r="F38" s="3"/>
      <c r="G38" s="2" t="str">
        <f>IF(E38="","",IF(MONTH(E38+1)&lt;&gt;MONTH($A$1),"",E38+1))</f>
        <v/>
      </c>
      <c r="H38" s="3"/>
      <c r="I38" s="2" t="str">
        <f>IF(G38="","",IF(MONTH(G38+1)&lt;&gt;MONTH($A$1),"",G38+1))</f>
        <v/>
      </c>
      <c r="J38" s="3"/>
      <c r="K38" s="4" t="str">
        <f>IF(I38="","",IF(MONTH(I38+1)&lt;&gt;MONTH($A$1),"",I38+1))</f>
        <v/>
      </c>
      <c r="L38" s="5"/>
      <c r="M38" s="4" t="str">
        <f>IF(K38="","",IF(MONTH(K38+1)&lt;&gt;MONTH($A$1),"",K38+1))</f>
        <v/>
      </c>
      <c r="N38" s="5"/>
    </row>
    <row r="39" spans="1:14" ht="14.1">
      <c r="A39" s="29" t="s">
        <v>10</v>
      </c>
      <c r="B39" s="20"/>
      <c r="C39" s="29" t="s">
        <v>11</v>
      </c>
      <c r="D39" s="20"/>
      <c r="E39" s="29" t="s">
        <v>24</v>
      </c>
      <c r="F39" s="20"/>
      <c r="G39" s="29" t="s">
        <v>24</v>
      </c>
      <c r="H39" s="20"/>
      <c r="I39" s="44" t="s">
        <v>24</v>
      </c>
      <c r="J39" s="20"/>
      <c r="K39" s="44"/>
      <c r="L39" s="20"/>
      <c r="M39" s="44"/>
      <c r="N39" s="20"/>
    </row>
    <row r="40" spans="1:14" ht="14.1">
      <c r="A40" s="27" t="s">
        <v>12</v>
      </c>
      <c r="B40" s="20"/>
      <c r="C40" s="26" t="s">
        <v>12</v>
      </c>
      <c r="D40" s="20"/>
      <c r="E40" s="26" t="s">
        <v>12</v>
      </c>
      <c r="F40" s="20"/>
      <c r="G40" s="26" t="s">
        <v>12</v>
      </c>
      <c r="H40" s="20"/>
      <c r="I40" s="26" t="s">
        <v>38</v>
      </c>
      <c r="J40" s="20"/>
      <c r="K40" s="26"/>
      <c r="L40" s="20"/>
      <c r="M40" s="26"/>
      <c r="N40" s="20"/>
    </row>
    <row r="41" spans="1:14" ht="14.1">
      <c r="A41" s="19" t="s">
        <v>53</v>
      </c>
      <c r="B41" s="20"/>
      <c r="C41" s="35" t="s">
        <v>9</v>
      </c>
      <c r="D41" s="20"/>
      <c r="E41" s="19" t="s">
        <v>9</v>
      </c>
      <c r="F41" s="20"/>
      <c r="G41" s="35" t="s">
        <v>9</v>
      </c>
      <c r="H41" s="20"/>
      <c r="I41" s="35" t="s">
        <v>9</v>
      </c>
      <c r="J41" s="20"/>
      <c r="K41" s="35"/>
      <c r="L41" s="20"/>
      <c r="M41" s="35"/>
      <c r="N41" s="20"/>
    </row>
    <row r="42" spans="1:14" ht="14.1">
      <c r="A42" s="21" t="s">
        <v>15</v>
      </c>
      <c r="B42" s="20"/>
      <c r="C42" s="21" t="s">
        <v>15</v>
      </c>
      <c r="D42" s="20"/>
      <c r="E42" s="21" t="s">
        <v>15</v>
      </c>
      <c r="F42" s="20"/>
      <c r="G42" s="21" t="s">
        <v>15</v>
      </c>
      <c r="H42" s="20"/>
      <c r="I42" s="30" t="s">
        <v>24</v>
      </c>
      <c r="J42" s="20"/>
      <c r="K42" s="30"/>
      <c r="L42" s="20"/>
      <c r="M42" s="30"/>
      <c r="N42" s="20"/>
    </row>
    <row r="43" spans="1:14" ht="14.1">
      <c r="A43" s="56" t="s">
        <v>25</v>
      </c>
      <c r="B43" s="20"/>
      <c r="C43" s="56" t="s">
        <v>25</v>
      </c>
      <c r="D43" s="20"/>
      <c r="E43" s="56" t="s">
        <v>25</v>
      </c>
      <c r="F43" s="20"/>
      <c r="G43" s="56" t="s">
        <v>25</v>
      </c>
      <c r="H43" s="20"/>
      <c r="I43" s="56" t="s">
        <v>25</v>
      </c>
      <c r="J43" s="20"/>
      <c r="K43" s="57"/>
      <c r="L43" s="20"/>
      <c r="M43" s="57"/>
      <c r="N43" s="20"/>
    </row>
    <row r="44" spans="1:14" ht="14.1">
      <c r="A44" s="23" t="s">
        <v>17</v>
      </c>
      <c r="B44" s="20"/>
      <c r="C44" s="23" t="s">
        <v>17</v>
      </c>
      <c r="D44" s="20"/>
      <c r="E44" s="23" t="s">
        <v>28</v>
      </c>
      <c r="F44" s="20"/>
      <c r="G44" s="23" t="s">
        <v>17</v>
      </c>
      <c r="H44" s="20"/>
      <c r="I44" s="23" t="s">
        <v>28</v>
      </c>
      <c r="J44" s="20"/>
      <c r="K44" s="22"/>
      <c r="L44" s="20"/>
      <c r="M44" s="22"/>
      <c r="N44" s="20"/>
    </row>
    <row r="45" spans="1:14" ht="18" customHeight="1">
      <c r="A45" s="25" t="s">
        <v>29</v>
      </c>
      <c r="B45" s="20"/>
      <c r="C45" s="25" t="s">
        <v>29</v>
      </c>
      <c r="D45" s="20"/>
      <c r="E45" s="25" t="s">
        <v>30</v>
      </c>
      <c r="F45" s="20"/>
      <c r="G45" s="25" t="s">
        <v>29</v>
      </c>
      <c r="H45" s="20"/>
      <c r="I45" s="25" t="s">
        <v>30</v>
      </c>
      <c r="J45" s="20"/>
      <c r="K45" s="31"/>
      <c r="L45" s="24"/>
      <c r="M45" s="31"/>
      <c r="N45" s="24"/>
    </row>
    <row r="46" spans="1:14" ht="18" customHeight="1">
      <c r="A46" s="2" t="str">
        <f>IF(M38="","",IF(MONTH(M38+1)&lt;&gt;MONTH($A$1),"",M38+1))</f>
        <v/>
      </c>
      <c r="B46" s="3"/>
      <c r="C46" s="2" t="str">
        <f>IF(A46="","",IF(MONTH(A46+1)&lt;&gt;MONTH($A$1),"",A46+1))</f>
        <v/>
      </c>
      <c r="D46" s="3"/>
      <c r="E46" s="46" t="s">
        <v>22</v>
      </c>
      <c r="F46" s="47"/>
      <c r="G46" s="48"/>
      <c r="H46" s="47"/>
      <c r="I46" s="47"/>
      <c r="J46" s="47"/>
      <c r="K46" s="47"/>
      <c r="L46" s="47"/>
      <c r="M46" s="47"/>
      <c r="N46" s="49"/>
    </row>
    <row r="47" spans="1:14" ht="14.1">
      <c r="A47" s="29"/>
      <c r="B47" s="20"/>
      <c r="C47" s="44"/>
      <c r="D47" s="20"/>
      <c r="E47" s="45" t="s">
        <v>65</v>
      </c>
      <c r="F47" s="37"/>
      <c r="G47" s="37"/>
      <c r="H47" s="37"/>
      <c r="I47" s="37"/>
      <c r="J47" s="37"/>
      <c r="K47" s="37"/>
      <c r="L47" s="37"/>
      <c r="M47" s="37"/>
      <c r="N47" s="20"/>
    </row>
    <row r="48" spans="1:14" ht="14.1">
      <c r="A48" s="27"/>
      <c r="B48" s="20"/>
      <c r="C48" s="26"/>
      <c r="D48" s="20"/>
      <c r="E48" s="45" t="s">
        <v>66</v>
      </c>
      <c r="F48" s="37"/>
      <c r="G48" s="37"/>
      <c r="H48" s="37"/>
      <c r="I48" s="37"/>
      <c r="J48" s="37"/>
      <c r="K48" s="37"/>
      <c r="L48" s="37"/>
      <c r="M48" s="37"/>
      <c r="N48" s="20"/>
    </row>
    <row r="49" spans="1:14" ht="14.1">
      <c r="A49" s="19"/>
      <c r="B49" s="20"/>
      <c r="C49" s="35"/>
      <c r="D49" s="20"/>
      <c r="E49" s="45" t="s">
        <v>67</v>
      </c>
      <c r="F49" s="37"/>
      <c r="G49" s="37"/>
      <c r="H49" s="37"/>
      <c r="I49" s="37"/>
      <c r="J49" s="37"/>
      <c r="K49" s="37"/>
      <c r="L49" s="37"/>
      <c r="M49" s="37"/>
      <c r="N49" s="20"/>
    </row>
    <row r="50" spans="1:14" ht="14.1">
      <c r="A50" s="21"/>
      <c r="B50" s="20"/>
      <c r="C50" s="30"/>
      <c r="D50" s="20"/>
      <c r="E50" s="6"/>
      <c r="F50" s="6" t="s">
        <v>68</v>
      </c>
      <c r="G50" s="7"/>
      <c r="H50" s="7"/>
      <c r="I50" s="7"/>
      <c r="J50" s="7"/>
      <c r="K50" s="7"/>
      <c r="L50" s="7"/>
      <c r="M50" s="7"/>
      <c r="N50" s="8"/>
    </row>
    <row r="51" spans="1:14" ht="14.1">
      <c r="A51" s="56"/>
      <c r="B51" s="20"/>
      <c r="C51" s="57"/>
      <c r="D51" s="20"/>
      <c r="E51" s="6" t="s">
        <v>69</v>
      </c>
      <c r="F51" s="7"/>
      <c r="G51" s="7"/>
      <c r="H51" s="7"/>
      <c r="I51" s="7"/>
      <c r="J51" s="7"/>
      <c r="K51" s="7"/>
      <c r="L51" s="7"/>
      <c r="M51" s="7"/>
      <c r="N51" s="8"/>
    </row>
    <row r="52" spans="1:14" ht="14.1">
      <c r="A52" s="23"/>
      <c r="B52" s="20"/>
      <c r="C52" s="22"/>
      <c r="D52" s="20"/>
      <c r="E52" s="6"/>
      <c r="F52" s="7"/>
      <c r="G52" s="7"/>
      <c r="H52" s="7"/>
      <c r="I52" s="7"/>
      <c r="J52" s="7"/>
      <c r="K52" s="7"/>
      <c r="L52" s="7"/>
      <c r="M52" s="7"/>
      <c r="N52" s="8"/>
    </row>
    <row r="53" spans="1:14" ht="14.1">
      <c r="A53" s="25"/>
      <c r="B53" s="20"/>
      <c r="C53" s="31"/>
      <c r="D53" s="24"/>
      <c r="E53" s="32" t="s">
        <v>23</v>
      </c>
      <c r="F53" s="33"/>
      <c r="G53" s="33"/>
      <c r="H53" s="33"/>
      <c r="I53" s="34" t="str">
        <f>HYPERLINK("https://www.vertex42.com/calendars/academic-calendar.html","https://www.vertex42.com/calendars/academic-calendar.html")</f>
        <v>https://www.vertex42.com/calendars/academic-calendar.html</v>
      </c>
      <c r="J53" s="33"/>
      <c r="K53" s="33"/>
      <c r="L53" s="33"/>
      <c r="M53" s="33"/>
      <c r="N53" s="24"/>
    </row>
  </sheetData>
  <mergeCells count="284">
    <mergeCell ref="A51:B51"/>
    <mergeCell ref="A52:B52"/>
    <mergeCell ref="C52:D52"/>
    <mergeCell ref="A53:B53"/>
    <mergeCell ref="C53:D53"/>
    <mergeCell ref="E53:H53"/>
    <mergeCell ref="I53:N53"/>
    <mergeCell ref="A48:B48"/>
    <mergeCell ref="A49:B49"/>
    <mergeCell ref="C49:D49"/>
    <mergeCell ref="E49:N49"/>
    <mergeCell ref="A50:B50"/>
    <mergeCell ref="C50:D50"/>
    <mergeCell ref="C51:D51"/>
    <mergeCell ref="A43:B43"/>
    <mergeCell ref="C43:D43"/>
    <mergeCell ref="E43:F43"/>
    <mergeCell ref="G43:H43"/>
    <mergeCell ref="I43:J43"/>
    <mergeCell ref="K43:L43"/>
    <mergeCell ref="M43:N43"/>
    <mergeCell ref="A44:B44"/>
    <mergeCell ref="C44:D44"/>
    <mergeCell ref="E44:F44"/>
    <mergeCell ref="G44:H44"/>
    <mergeCell ref="I44:J44"/>
    <mergeCell ref="K44:L44"/>
    <mergeCell ref="M44:N44"/>
    <mergeCell ref="K41:L41"/>
    <mergeCell ref="M41:N41"/>
    <mergeCell ref="A42:B42"/>
    <mergeCell ref="C42:D42"/>
    <mergeCell ref="E42:F42"/>
    <mergeCell ref="G42:H42"/>
    <mergeCell ref="I42:J42"/>
    <mergeCell ref="K42:L42"/>
    <mergeCell ref="M42:N42"/>
    <mergeCell ref="A47:B47"/>
    <mergeCell ref="C47:D47"/>
    <mergeCell ref="E47:N47"/>
    <mergeCell ref="C48:D48"/>
    <mergeCell ref="E48:N48"/>
    <mergeCell ref="A39:B39"/>
    <mergeCell ref="C39:D39"/>
    <mergeCell ref="E39:F39"/>
    <mergeCell ref="G39:H39"/>
    <mergeCell ref="I39:J39"/>
    <mergeCell ref="K39:L39"/>
    <mergeCell ref="M39:N39"/>
    <mergeCell ref="A40:B40"/>
    <mergeCell ref="C40:D40"/>
    <mergeCell ref="E40:F40"/>
    <mergeCell ref="G40:H40"/>
    <mergeCell ref="I40:J40"/>
    <mergeCell ref="K40:L40"/>
    <mergeCell ref="M40:N40"/>
    <mergeCell ref="A41:B41"/>
    <mergeCell ref="C41:D41"/>
    <mergeCell ref="E41:F41"/>
    <mergeCell ref="G41:H41"/>
    <mergeCell ref="I41:J41"/>
    <mergeCell ref="A45:B45"/>
    <mergeCell ref="C45:D45"/>
    <mergeCell ref="E45:F45"/>
    <mergeCell ref="G45:H45"/>
    <mergeCell ref="I45:J45"/>
    <mergeCell ref="K45:L45"/>
    <mergeCell ref="M45:N45"/>
    <mergeCell ref="E46:F46"/>
    <mergeCell ref="G46:N46"/>
    <mergeCell ref="A36:B36"/>
    <mergeCell ref="C36:D36"/>
    <mergeCell ref="E36:F36"/>
    <mergeCell ref="G36:H36"/>
    <mergeCell ref="I36:J36"/>
    <mergeCell ref="K36:L36"/>
    <mergeCell ref="M36:N36"/>
    <mergeCell ref="A37:B37"/>
    <mergeCell ref="C37:D37"/>
    <mergeCell ref="E37:F37"/>
    <mergeCell ref="G37:H37"/>
    <mergeCell ref="I37:J37"/>
    <mergeCell ref="K37:L37"/>
    <mergeCell ref="M37:N37"/>
    <mergeCell ref="A34:B34"/>
    <mergeCell ref="C34:D34"/>
    <mergeCell ref="E34:F34"/>
    <mergeCell ref="G34:H34"/>
    <mergeCell ref="I34:J34"/>
    <mergeCell ref="K34:L34"/>
    <mergeCell ref="M34:N34"/>
    <mergeCell ref="A35:B35"/>
    <mergeCell ref="C35:D35"/>
    <mergeCell ref="E35:F35"/>
    <mergeCell ref="G35:H35"/>
    <mergeCell ref="I35:J35"/>
    <mergeCell ref="K35:L35"/>
    <mergeCell ref="M35:N35"/>
    <mergeCell ref="A32:B32"/>
    <mergeCell ref="C32:D32"/>
    <mergeCell ref="E32:F32"/>
    <mergeCell ref="G32:H32"/>
    <mergeCell ref="I32:J32"/>
    <mergeCell ref="K32:L32"/>
    <mergeCell ref="M32:N32"/>
    <mergeCell ref="A33:B33"/>
    <mergeCell ref="C33:D33"/>
    <mergeCell ref="E33:F33"/>
    <mergeCell ref="G33:H33"/>
    <mergeCell ref="I33:J33"/>
    <mergeCell ref="K33:L33"/>
    <mergeCell ref="M33:N33"/>
    <mergeCell ref="A29:B29"/>
    <mergeCell ref="C29:D29"/>
    <mergeCell ref="E29:F29"/>
    <mergeCell ref="G29:H29"/>
    <mergeCell ref="I29:J29"/>
    <mergeCell ref="K29:L29"/>
    <mergeCell ref="M29:N29"/>
    <mergeCell ref="A31:B31"/>
    <mergeCell ref="C31:D31"/>
    <mergeCell ref="E31:F31"/>
    <mergeCell ref="G31:H31"/>
    <mergeCell ref="I31:J31"/>
    <mergeCell ref="K31:L31"/>
    <mergeCell ref="M31:N31"/>
    <mergeCell ref="A27:B27"/>
    <mergeCell ref="C27:D27"/>
    <mergeCell ref="E27:F27"/>
    <mergeCell ref="G27:H27"/>
    <mergeCell ref="I27:J27"/>
    <mergeCell ref="K27:L27"/>
    <mergeCell ref="M27:N27"/>
    <mergeCell ref="A28:B28"/>
    <mergeCell ref="C28:D28"/>
    <mergeCell ref="E28:F28"/>
    <mergeCell ref="G28:H28"/>
    <mergeCell ref="I28:J28"/>
    <mergeCell ref="K28:L28"/>
    <mergeCell ref="M28:N28"/>
    <mergeCell ref="A25:B25"/>
    <mergeCell ref="C25:D25"/>
    <mergeCell ref="E25:F25"/>
    <mergeCell ref="G25:H25"/>
    <mergeCell ref="I25:J25"/>
    <mergeCell ref="K25:L25"/>
    <mergeCell ref="M25:N25"/>
    <mergeCell ref="A26:B26"/>
    <mergeCell ref="C26:D26"/>
    <mergeCell ref="E26:F26"/>
    <mergeCell ref="G26:H26"/>
    <mergeCell ref="I26:J26"/>
    <mergeCell ref="K26:L26"/>
    <mergeCell ref="M26:N26"/>
    <mergeCell ref="A23:B23"/>
    <mergeCell ref="C23:D23"/>
    <mergeCell ref="E23:F23"/>
    <mergeCell ref="G23:H23"/>
    <mergeCell ref="I23:J23"/>
    <mergeCell ref="K23:L23"/>
    <mergeCell ref="M23:N23"/>
    <mergeCell ref="A24:B24"/>
    <mergeCell ref="C24:D24"/>
    <mergeCell ref="E24:F24"/>
    <mergeCell ref="G24:H24"/>
    <mergeCell ref="I24:J24"/>
    <mergeCell ref="K24:L24"/>
    <mergeCell ref="M24:N24"/>
    <mergeCell ref="A20:B20"/>
    <mergeCell ref="C20:D20"/>
    <mergeCell ref="E20:F20"/>
    <mergeCell ref="G20:H20"/>
    <mergeCell ref="I20:J20"/>
    <mergeCell ref="K20:L20"/>
    <mergeCell ref="M20:N20"/>
    <mergeCell ref="A21:B21"/>
    <mergeCell ref="C21:D21"/>
    <mergeCell ref="E21:F21"/>
    <mergeCell ref="G21:H21"/>
    <mergeCell ref="I21:J21"/>
    <mergeCell ref="K21:L21"/>
    <mergeCell ref="M21:N21"/>
    <mergeCell ref="A18:B18"/>
    <mergeCell ref="C18:D18"/>
    <mergeCell ref="E18:F18"/>
    <mergeCell ref="G18:H18"/>
    <mergeCell ref="I18:J18"/>
    <mergeCell ref="K18:L18"/>
    <mergeCell ref="M18:N18"/>
    <mergeCell ref="A19:B19"/>
    <mergeCell ref="C19:D19"/>
    <mergeCell ref="E19:F19"/>
    <mergeCell ref="G19:H19"/>
    <mergeCell ref="I19:J19"/>
    <mergeCell ref="K19:L19"/>
    <mergeCell ref="M19:N19"/>
    <mergeCell ref="A16:B16"/>
    <mergeCell ref="C16:D16"/>
    <mergeCell ref="E16:F16"/>
    <mergeCell ref="G16:H16"/>
    <mergeCell ref="I16:J16"/>
    <mergeCell ref="K16:L16"/>
    <mergeCell ref="M16:N16"/>
    <mergeCell ref="A17:B17"/>
    <mergeCell ref="C17:D17"/>
    <mergeCell ref="E17:F17"/>
    <mergeCell ref="G17:H17"/>
    <mergeCell ref="I17:J17"/>
    <mergeCell ref="K17:L17"/>
    <mergeCell ref="M17:N17"/>
    <mergeCell ref="A13:B13"/>
    <mergeCell ref="C13:D13"/>
    <mergeCell ref="E13:F13"/>
    <mergeCell ref="G13:H13"/>
    <mergeCell ref="I13:J13"/>
    <mergeCell ref="K13:L13"/>
    <mergeCell ref="M13:N13"/>
    <mergeCell ref="A15:B15"/>
    <mergeCell ref="C15:D15"/>
    <mergeCell ref="E15:F15"/>
    <mergeCell ref="G15:H15"/>
    <mergeCell ref="I15:J15"/>
    <mergeCell ref="K15:L15"/>
    <mergeCell ref="M15:N15"/>
    <mergeCell ref="K3:L3"/>
    <mergeCell ref="A7:B7"/>
    <mergeCell ref="C7:D7"/>
    <mergeCell ref="E7:F7"/>
    <mergeCell ref="G7:H7"/>
    <mergeCell ref="I7:J7"/>
    <mergeCell ref="K7:L7"/>
    <mergeCell ref="M7:N7"/>
    <mergeCell ref="A8:B8"/>
    <mergeCell ref="C8:D8"/>
    <mergeCell ref="E8:F8"/>
    <mergeCell ref="G8:H8"/>
    <mergeCell ref="I8:J8"/>
    <mergeCell ref="K8:L8"/>
    <mergeCell ref="M8:N8"/>
    <mergeCell ref="A1:B1"/>
    <mergeCell ref="K1:N1"/>
    <mergeCell ref="A2:N2"/>
    <mergeCell ref="A3:B3"/>
    <mergeCell ref="C3:D3"/>
    <mergeCell ref="E3:F3"/>
    <mergeCell ref="G3:H3"/>
    <mergeCell ref="A11:B11"/>
    <mergeCell ref="C11:D11"/>
    <mergeCell ref="E11:F11"/>
    <mergeCell ref="G11:H11"/>
    <mergeCell ref="I11:J11"/>
    <mergeCell ref="K11:L11"/>
    <mergeCell ref="M11:N11"/>
    <mergeCell ref="K5:L5"/>
    <mergeCell ref="M5:N5"/>
    <mergeCell ref="M3:N3"/>
    <mergeCell ref="A4:N4"/>
    <mergeCell ref="A5:B5"/>
    <mergeCell ref="C5:D5"/>
    <mergeCell ref="E5:F5"/>
    <mergeCell ref="G5:H5"/>
    <mergeCell ref="I5:J5"/>
    <mergeCell ref="I3:J3"/>
    <mergeCell ref="A12:B12"/>
    <mergeCell ref="C12:D12"/>
    <mergeCell ref="E12:F12"/>
    <mergeCell ref="G12:H12"/>
    <mergeCell ref="I12:J12"/>
    <mergeCell ref="K12:L12"/>
    <mergeCell ref="M12:N12"/>
    <mergeCell ref="A9:B9"/>
    <mergeCell ref="C9:D9"/>
    <mergeCell ref="E9:F9"/>
    <mergeCell ref="G9:H9"/>
    <mergeCell ref="I9:J9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</mergeCells>
  <printOptions horizontalCentered="1" gridLines="1"/>
  <pageMargins left="0.25" right="0.25" top="0.5" bottom="0.5" header="0" footer="0"/>
  <pageSetup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N53"/>
  <sheetViews>
    <sheetView showGridLines="0" topLeftCell="A2" workbookViewId="0"/>
  </sheetViews>
  <sheetFormatPr defaultColWidth="12.5703125" defaultRowHeight="12.75" customHeight="1"/>
  <cols>
    <col min="1" max="1" width="3.85546875" customWidth="1"/>
    <col min="2" max="2" width="13.42578125" customWidth="1"/>
    <col min="3" max="3" width="3.85546875" customWidth="1"/>
    <col min="4" max="4" width="13.42578125" customWidth="1"/>
    <col min="5" max="5" width="3.85546875" customWidth="1"/>
    <col min="6" max="6" width="13.42578125" customWidth="1"/>
    <col min="7" max="7" width="3.85546875" customWidth="1"/>
    <col min="8" max="8" width="13.42578125" customWidth="1"/>
    <col min="9" max="9" width="3.85546875" customWidth="1"/>
    <col min="10" max="10" width="13.42578125" customWidth="1"/>
    <col min="11" max="11" width="3.85546875" customWidth="1"/>
    <col min="12" max="12" width="13.42578125" customWidth="1"/>
    <col min="13" max="13" width="3.85546875" customWidth="1"/>
    <col min="14" max="14" width="13.42578125" customWidth="1"/>
  </cols>
  <sheetData>
    <row r="1" spans="1:14" ht="18" hidden="1" customHeight="1">
      <c r="A1" s="52">
        <f>EDATE('©'!A17,10)</f>
        <v>45413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4" ht="18" customHeight="1">
      <c r="A2" s="39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1:14" ht="18" customHeight="1">
      <c r="A3" s="29" t="s">
        <v>2</v>
      </c>
      <c r="B3" s="37"/>
      <c r="C3" s="27" t="s">
        <v>3</v>
      </c>
      <c r="D3" s="37"/>
      <c r="E3" s="19" t="s">
        <v>4</v>
      </c>
      <c r="F3" s="37"/>
      <c r="G3" s="21" t="s">
        <v>5</v>
      </c>
      <c r="H3" s="37"/>
      <c r="I3" s="56" t="s">
        <v>6</v>
      </c>
      <c r="J3" s="37"/>
      <c r="K3" s="23" t="s">
        <v>7</v>
      </c>
      <c r="L3" s="37"/>
      <c r="M3" s="25" t="s">
        <v>8</v>
      </c>
      <c r="N3" s="37"/>
    </row>
    <row r="4" spans="1:14" ht="60.75" customHeight="1">
      <c r="A4" s="42" t="str">
        <f>UPPER(TEXT(A1,"mmmm yyyy"))</f>
        <v>MAY 2024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</row>
    <row r="5" spans="1:14" ht="15" customHeight="1">
      <c r="A5" s="40">
        <f>A14</f>
        <v>45418</v>
      </c>
      <c r="B5" s="41"/>
      <c r="C5" s="40">
        <f>C14</f>
        <v>45419</v>
      </c>
      <c r="D5" s="41"/>
      <c r="E5" s="40">
        <f>E14</f>
        <v>45420</v>
      </c>
      <c r="F5" s="41"/>
      <c r="G5" s="40">
        <f>G14</f>
        <v>45421</v>
      </c>
      <c r="H5" s="41"/>
      <c r="I5" s="40">
        <f>I14</f>
        <v>45422</v>
      </c>
      <c r="J5" s="41"/>
      <c r="K5" s="40">
        <f>K14</f>
        <v>45423</v>
      </c>
      <c r="L5" s="41"/>
      <c r="M5" s="40">
        <f>M14</f>
        <v>45424</v>
      </c>
      <c r="N5" s="41"/>
    </row>
    <row r="6" spans="1:14" ht="18" customHeight="1">
      <c r="A6" s="2" t="str">
        <f>IF(WEEKDAY($A$1,1)=startday,$A$1,"")</f>
        <v/>
      </c>
      <c r="B6" s="3"/>
      <c r="C6" s="2" t="str">
        <f>IF(A6="",IF(WEEKDAY($A$1,1)=MOD(startday,7)+1,$A$1,""),A6+1)</f>
        <v/>
      </c>
      <c r="D6" s="3"/>
      <c r="E6" s="2">
        <f>IF(C6="",IF(WEEKDAY($A$1,1)=MOD(startday,7)+2,$A$1,""),C6+1)</f>
        <v>45413</v>
      </c>
      <c r="F6" s="3"/>
      <c r="G6" s="2">
        <f>IF(E6="",IF(WEEKDAY($A$1,1)=MOD(startday,7)+3,$A$1,""),E6+1)</f>
        <v>45414</v>
      </c>
      <c r="H6" s="3"/>
      <c r="I6" s="2">
        <f>IF(G6="",IF(WEEKDAY($A$1,1)=MOD(startday,7)+4,$A$1,""),G6+1)</f>
        <v>45415</v>
      </c>
      <c r="J6" s="3"/>
      <c r="K6" s="4">
        <f>IF(I6="",IF(WEEKDAY($A$1,1)=MOD(startday,7)+5,$A$1,""),I6+1)</f>
        <v>45416</v>
      </c>
      <c r="L6" s="5"/>
      <c r="M6" s="4">
        <f>IF(K6="",IF(WEEKDAY($A$1,1)=MOD(startday+5,7)+1,$A$1,""),K6+1)</f>
        <v>45417</v>
      </c>
      <c r="N6" s="5"/>
    </row>
    <row r="7" spans="1:14" ht="14.1">
      <c r="A7" s="29"/>
      <c r="B7" s="20"/>
      <c r="C7" s="44"/>
      <c r="D7" s="20"/>
      <c r="E7" s="29"/>
      <c r="F7" s="20"/>
      <c r="G7" s="44"/>
      <c r="H7" s="20"/>
      <c r="I7" s="44"/>
      <c r="J7" s="20"/>
      <c r="K7" s="44" t="s">
        <v>24</v>
      </c>
      <c r="L7" s="20"/>
      <c r="M7" s="44" t="s">
        <v>24</v>
      </c>
      <c r="N7" s="20"/>
    </row>
    <row r="8" spans="1:14" ht="14.1">
      <c r="A8" s="27"/>
      <c r="B8" s="20"/>
      <c r="C8" s="26"/>
      <c r="D8" s="20"/>
      <c r="E8" s="27"/>
      <c r="F8" s="20"/>
      <c r="G8" s="26"/>
      <c r="H8" s="20"/>
      <c r="I8" s="26"/>
      <c r="J8" s="20"/>
      <c r="K8" s="26" t="s">
        <v>38</v>
      </c>
      <c r="L8" s="20"/>
      <c r="M8" s="26" t="s">
        <v>38</v>
      </c>
      <c r="N8" s="20"/>
    </row>
    <row r="9" spans="1:14" ht="14.1">
      <c r="A9" s="19"/>
      <c r="B9" s="20"/>
      <c r="C9" s="35"/>
      <c r="D9" s="20"/>
      <c r="E9" s="19"/>
      <c r="F9" s="20"/>
      <c r="G9" s="35"/>
      <c r="H9" s="20"/>
      <c r="I9" s="35"/>
      <c r="J9" s="20"/>
      <c r="K9" s="35" t="s">
        <v>40</v>
      </c>
      <c r="L9" s="20"/>
      <c r="M9" s="35" t="s">
        <v>40</v>
      </c>
      <c r="N9" s="20"/>
    </row>
    <row r="10" spans="1:14" ht="14.1">
      <c r="A10" s="21"/>
      <c r="B10" s="20"/>
      <c r="C10" s="30"/>
      <c r="D10" s="20"/>
      <c r="E10" s="21"/>
      <c r="F10" s="20"/>
      <c r="G10" s="30"/>
      <c r="H10" s="20"/>
      <c r="I10" s="30"/>
      <c r="J10" s="20"/>
      <c r="K10" s="30" t="s">
        <v>24</v>
      </c>
      <c r="L10" s="20"/>
      <c r="M10" s="30" t="s">
        <v>24</v>
      </c>
      <c r="N10" s="20"/>
    </row>
    <row r="11" spans="1:14" ht="14.1">
      <c r="A11" s="56"/>
      <c r="B11" s="20"/>
      <c r="C11" s="57"/>
      <c r="D11" s="20"/>
      <c r="E11" s="56"/>
      <c r="F11" s="20"/>
      <c r="G11" s="57"/>
      <c r="H11" s="20"/>
      <c r="I11" s="57"/>
      <c r="J11" s="20"/>
      <c r="K11" s="57" t="s">
        <v>25</v>
      </c>
      <c r="L11" s="20"/>
      <c r="M11" s="57" t="s">
        <v>25</v>
      </c>
      <c r="N11" s="20"/>
    </row>
    <row r="12" spans="1:14" ht="14.1">
      <c r="A12" s="23"/>
      <c r="B12" s="20"/>
      <c r="C12" s="22"/>
      <c r="D12" s="20"/>
      <c r="E12" s="23"/>
      <c r="F12" s="20"/>
      <c r="G12" s="22"/>
      <c r="H12" s="20"/>
      <c r="I12" s="22"/>
      <c r="J12" s="20"/>
      <c r="K12" s="22" t="s">
        <v>36</v>
      </c>
      <c r="L12" s="20"/>
      <c r="M12" s="22" t="s">
        <v>70</v>
      </c>
      <c r="N12" s="20"/>
    </row>
    <row r="13" spans="1:14" ht="18" customHeight="1">
      <c r="A13" s="25"/>
      <c r="B13" s="20"/>
      <c r="C13" s="31"/>
      <c r="D13" s="24"/>
      <c r="E13" s="25"/>
      <c r="F13" s="20"/>
      <c r="G13" s="31"/>
      <c r="H13" s="24"/>
      <c r="I13" s="31"/>
      <c r="J13" s="24"/>
      <c r="K13" s="31" t="s">
        <v>30</v>
      </c>
      <c r="L13" s="24"/>
      <c r="M13" s="31" t="s">
        <v>30</v>
      </c>
      <c r="N13" s="24"/>
    </row>
    <row r="14" spans="1:14" ht="18" customHeight="1">
      <c r="A14" s="2">
        <f>M6+1</f>
        <v>45418</v>
      </c>
      <c r="B14" s="3"/>
      <c r="C14" s="2">
        <f>A14+1</f>
        <v>45419</v>
      </c>
      <c r="D14" s="3"/>
      <c r="E14" s="2">
        <f>C14+1</f>
        <v>45420</v>
      </c>
      <c r="F14" s="3"/>
      <c r="G14" s="2">
        <f>E14+1</f>
        <v>45421</v>
      </c>
      <c r="H14" s="3"/>
      <c r="I14" s="2">
        <f>G14+1</f>
        <v>45422</v>
      </c>
      <c r="J14" s="3"/>
      <c r="K14" s="4">
        <f>I14+1</f>
        <v>45423</v>
      </c>
      <c r="L14" s="5"/>
      <c r="M14" s="4">
        <f>K14+1</f>
        <v>45424</v>
      </c>
      <c r="N14" s="5"/>
    </row>
    <row r="15" spans="1:14" ht="14.1">
      <c r="A15" s="44" t="s">
        <v>24</v>
      </c>
      <c r="B15" s="20"/>
      <c r="C15" s="44" t="s">
        <v>24</v>
      </c>
      <c r="D15" s="20"/>
      <c r="E15" s="44" t="s">
        <v>24</v>
      </c>
      <c r="F15" s="20"/>
      <c r="G15" s="44" t="s">
        <v>24</v>
      </c>
      <c r="H15" s="20"/>
      <c r="I15" s="44" t="s">
        <v>31</v>
      </c>
      <c r="J15" s="20"/>
      <c r="K15" s="44" t="s">
        <v>9</v>
      </c>
      <c r="L15" s="20"/>
      <c r="M15" s="44" t="s">
        <v>9</v>
      </c>
      <c r="N15" s="20"/>
    </row>
    <row r="16" spans="1:14" ht="14.1">
      <c r="A16" s="26" t="s">
        <v>38</v>
      </c>
      <c r="B16" s="20"/>
      <c r="C16" s="26" t="s">
        <v>38</v>
      </c>
      <c r="D16" s="20"/>
      <c r="E16" s="26" t="s">
        <v>38</v>
      </c>
      <c r="F16" s="20"/>
      <c r="G16" s="26" t="s">
        <v>38</v>
      </c>
      <c r="H16" s="20"/>
      <c r="I16" s="26" t="s">
        <v>16</v>
      </c>
      <c r="J16" s="20"/>
      <c r="K16" s="26" t="s">
        <v>16</v>
      </c>
      <c r="L16" s="20"/>
      <c r="M16" s="26" t="s">
        <v>16</v>
      </c>
      <c r="N16" s="20"/>
    </row>
    <row r="17" spans="1:14" ht="14.1">
      <c r="A17" s="35" t="s">
        <v>13</v>
      </c>
      <c r="B17" s="20"/>
      <c r="C17" s="35" t="s">
        <v>13</v>
      </c>
      <c r="D17" s="20"/>
      <c r="E17" s="35" t="s">
        <v>13</v>
      </c>
      <c r="F17" s="20"/>
      <c r="G17" s="35" t="s">
        <v>13</v>
      </c>
      <c r="H17" s="20"/>
      <c r="I17" s="35" t="s">
        <v>13</v>
      </c>
      <c r="J17" s="20"/>
      <c r="K17" s="35" t="s">
        <v>55</v>
      </c>
      <c r="L17" s="20"/>
      <c r="M17" s="35" t="s">
        <v>55</v>
      </c>
      <c r="N17" s="20"/>
    </row>
    <row r="18" spans="1:14" ht="14.1">
      <c r="A18" s="30" t="s">
        <v>24</v>
      </c>
      <c r="B18" s="20"/>
      <c r="C18" s="30" t="s">
        <v>24</v>
      </c>
      <c r="D18" s="20"/>
      <c r="E18" s="30" t="s">
        <v>24</v>
      </c>
      <c r="F18" s="20"/>
      <c r="G18" s="30" t="s">
        <v>15</v>
      </c>
      <c r="H18" s="20"/>
      <c r="I18" s="30" t="s">
        <v>15</v>
      </c>
      <c r="J18" s="20"/>
      <c r="K18" s="30" t="s">
        <v>15</v>
      </c>
      <c r="L18" s="20"/>
      <c r="M18" s="30" t="s">
        <v>15</v>
      </c>
      <c r="N18" s="20"/>
    </row>
    <row r="19" spans="1:14" ht="14.1">
      <c r="A19" s="57" t="s">
        <v>25</v>
      </c>
      <c r="B19" s="20"/>
      <c r="C19" s="57" t="s">
        <v>25</v>
      </c>
      <c r="D19" s="20"/>
      <c r="E19" s="57" t="s">
        <v>25</v>
      </c>
      <c r="F19" s="20"/>
      <c r="G19" s="57" t="s">
        <v>25</v>
      </c>
      <c r="H19" s="20"/>
      <c r="I19" s="57" t="s">
        <v>25</v>
      </c>
      <c r="J19" s="20"/>
      <c r="K19" s="57" t="s">
        <v>25</v>
      </c>
      <c r="L19" s="20"/>
      <c r="M19" s="57" t="s">
        <v>25</v>
      </c>
      <c r="N19" s="20"/>
    </row>
    <row r="20" spans="1:14" ht="14.1">
      <c r="A20" s="23" t="s">
        <v>27</v>
      </c>
      <c r="B20" s="20"/>
      <c r="C20" s="22" t="s">
        <v>27</v>
      </c>
      <c r="D20" s="20"/>
      <c r="E20" s="23" t="s">
        <v>28</v>
      </c>
      <c r="F20" s="20"/>
      <c r="G20" s="22" t="s">
        <v>27</v>
      </c>
      <c r="H20" s="20"/>
      <c r="I20" s="22" t="s">
        <v>71</v>
      </c>
      <c r="J20" s="20"/>
      <c r="K20" s="22" t="s">
        <v>26</v>
      </c>
      <c r="L20" s="20"/>
      <c r="M20" s="22" t="s">
        <v>26</v>
      </c>
      <c r="N20" s="20"/>
    </row>
    <row r="21" spans="1:14" ht="18" customHeight="1">
      <c r="A21" s="25" t="s">
        <v>50</v>
      </c>
      <c r="B21" s="20"/>
      <c r="C21" s="25" t="s">
        <v>50</v>
      </c>
      <c r="D21" s="20"/>
      <c r="E21" s="25" t="s">
        <v>50</v>
      </c>
      <c r="F21" s="20"/>
      <c r="G21" s="25" t="s">
        <v>50</v>
      </c>
      <c r="H21" s="20"/>
      <c r="I21" s="25" t="s">
        <v>72</v>
      </c>
      <c r="J21" s="20"/>
      <c r="K21" s="25" t="s">
        <v>73</v>
      </c>
      <c r="L21" s="20"/>
      <c r="M21" s="25" t="s">
        <v>73</v>
      </c>
      <c r="N21" s="20"/>
    </row>
    <row r="22" spans="1:14" ht="18" customHeight="1">
      <c r="A22" s="2">
        <f>M14+1</f>
        <v>45425</v>
      </c>
      <c r="B22" s="3"/>
      <c r="C22" s="2">
        <f>A22+1</f>
        <v>45426</v>
      </c>
      <c r="D22" s="3"/>
      <c r="E22" s="2">
        <f>C22+1</f>
        <v>45427</v>
      </c>
      <c r="F22" s="3"/>
      <c r="G22" s="2">
        <f>E22+1</f>
        <v>45428</v>
      </c>
      <c r="H22" s="3"/>
      <c r="I22" s="2">
        <f>G22+1</f>
        <v>45429</v>
      </c>
      <c r="J22" s="3"/>
      <c r="K22" s="4">
        <f>I22+1</f>
        <v>45430</v>
      </c>
      <c r="L22" s="5"/>
      <c r="M22" s="4">
        <f>K22+1</f>
        <v>45431</v>
      </c>
      <c r="N22" s="5"/>
    </row>
    <row r="23" spans="1:14" ht="14.1">
      <c r="A23" s="29" t="s">
        <v>53</v>
      </c>
      <c r="B23" s="20"/>
      <c r="C23" s="29" t="s">
        <v>9</v>
      </c>
      <c r="D23" s="20"/>
      <c r="E23" s="29" t="s">
        <v>45</v>
      </c>
      <c r="F23" s="20"/>
      <c r="G23" s="29" t="s">
        <v>9</v>
      </c>
      <c r="H23" s="20"/>
      <c r="I23" s="44" t="s">
        <v>39</v>
      </c>
      <c r="J23" s="20"/>
      <c r="K23" s="44" t="s">
        <v>11</v>
      </c>
      <c r="L23" s="20"/>
      <c r="M23" s="44" t="s">
        <v>11</v>
      </c>
      <c r="N23" s="20"/>
    </row>
    <row r="24" spans="1:14" ht="14.1">
      <c r="A24" s="27" t="s">
        <v>16</v>
      </c>
      <c r="B24" s="20"/>
      <c r="C24" s="27" t="s">
        <v>16</v>
      </c>
      <c r="D24" s="20"/>
      <c r="E24" s="27" t="s">
        <v>16</v>
      </c>
      <c r="F24" s="20"/>
      <c r="G24" s="27" t="s">
        <v>16</v>
      </c>
      <c r="H24" s="20"/>
      <c r="I24" s="26" t="s">
        <v>59</v>
      </c>
      <c r="J24" s="20"/>
      <c r="K24" s="26" t="s">
        <v>59</v>
      </c>
      <c r="L24" s="20"/>
      <c r="M24" s="26" t="s">
        <v>59</v>
      </c>
      <c r="N24" s="20"/>
    </row>
    <row r="25" spans="1:14" ht="14.1">
      <c r="A25" s="19" t="s">
        <v>11</v>
      </c>
      <c r="B25" s="20"/>
      <c r="C25" s="35" t="s">
        <v>11</v>
      </c>
      <c r="D25" s="20"/>
      <c r="E25" s="19" t="s">
        <v>11</v>
      </c>
      <c r="F25" s="20"/>
      <c r="G25" s="35" t="s">
        <v>11</v>
      </c>
      <c r="H25" s="20"/>
      <c r="I25" s="35" t="s">
        <v>9</v>
      </c>
      <c r="J25" s="20"/>
      <c r="K25" s="35" t="s">
        <v>62</v>
      </c>
      <c r="L25" s="20"/>
      <c r="M25" s="35" t="s">
        <v>62</v>
      </c>
      <c r="N25" s="20"/>
    </row>
    <row r="26" spans="1:14" ht="14.1">
      <c r="A26" s="21" t="s">
        <v>24</v>
      </c>
      <c r="B26" s="20"/>
      <c r="C26" s="21" t="s">
        <v>24</v>
      </c>
      <c r="D26" s="20"/>
      <c r="E26" s="21" t="s">
        <v>24</v>
      </c>
      <c r="F26" s="20"/>
      <c r="G26" s="21" t="s">
        <v>24</v>
      </c>
      <c r="H26" s="20"/>
      <c r="I26" s="21" t="s">
        <v>24</v>
      </c>
      <c r="J26" s="20"/>
      <c r="K26" s="21" t="s">
        <v>24</v>
      </c>
      <c r="L26" s="20"/>
      <c r="M26" s="21" t="s">
        <v>24</v>
      </c>
      <c r="N26" s="20"/>
    </row>
    <row r="27" spans="1:14" ht="14.1">
      <c r="A27" s="56" t="s">
        <v>13</v>
      </c>
      <c r="B27" s="20"/>
      <c r="C27" s="56" t="s">
        <v>13</v>
      </c>
      <c r="D27" s="20"/>
      <c r="E27" s="56" t="s">
        <v>13</v>
      </c>
      <c r="F27" s="20"/>
      <c r="G27" s="56" t="s">
        <v>13</v>
      </c>
      <c r="H27" s="20"/>
      <c r="I27" s="56" t="s">
        <v>13</v>
      </c>
      <c r="J27" s="20"/>
      <c r="K27" s="56" t="s">
        <v>13</v>
      </c>
      <c r="L27" s="20"/>
      <c r="M27" s="56" t="s">
        <v>13</v>
      </c>
      <c r="N27" s="20"/>
    </row>
    <row r="28" spans="1:14" ht="14.1">
      <c r="A28" s="23" t="s">
        <v>27</v>
      </c>
      <c r="B28" s="20"/>
      <c r="C28" s="22" t="s">
        <v>27</v>
      </c>
      <c r="D28" s="20"/>
      <c r="E28" s="23" t="s">
        <v>28</v>
      </c>
      <c r="F28" s="20"/>
      <c r="G28" s="22" t="s">
        <v>17</v>
      </c>
      <c r="H28" s="20"/>
      <c r="I28" s="22" t="s">
        <v>17</v>
      </c>
      <c r="J28" s="20"/>
      <c r="K28" s="22" t="s">
        <v>17</v>
      </c>
      <c r="L28" s="20"/>
      <c r="M28" s="22" t="s">
        <v>17</v>
      </c>
      <c r="N28" s="20"/>
    </row>
    <row r="29" spans="1:14" ht="18" customHeight="1">
      <c r="A29" s="25" t="s">
        <v>50</v>
      </c>
      <c r="B29" s="20"/>
      <c r="C29" s="25" t="s">
        <v>50</v>
      </c>
      <c r="D29" s="20"/>
      <c r="E29" s="25" t="s">
        <v>50</v>
      </c>
      <c r="F29" s="20"/>
      <c r="G29" s="25" t="s">
        <v>63</v>
      </c>
      <c r="H29" s="20"/>
      <c r="I29" s="25" t="s">
        <v>63</v>
      </c>
      <c r="J29" s="20"/>
      <c r="K29" s="25" t="s">
        <v>74</v>
      </c>
      <c r="L29" s="20"/>
      <c r="M29" s="25" t="s">
        <v>74</v>
      </c>
      <c r="N29" s="20"/>
    </row>
    <row r="30" spans="1:14" ht="18" customHeight="1">
      <c r="A30" s="2">
        <f>M22+1</f>
        <v>45432</v>
      </c>
      <c r="B30" s="3"/>
      <c r="C30" s="2">
        <f>A30+1</f>
        <v>45433</v>
      </c>
      <c r="D30" s="3"/>
      <c r="E30" s="2">
        <f>C30+1</f>
        <v>45434</v>
      </c>
      <c r="F30" s="3"/>
      <c r="G30" s="2">
        <f>E30+1</f>
        <v>45435</v>
      </c>
      <c r="H30" s="3"/>
      <c r="I30" s="2">
        <f>G30+1</f>
        <v>45436</v>
      </c>
      <c r="J30" s="3"/>
      <c r="K30" s="4">
        <f>I30+1</f>
        <v>45437</v>
      </c>
      <c r="L30" s="5"/>
      <c r="M30" s="4">
        <f>K30+1</f>
        <v>45438</v>
      </c>
      <c r="N30" s="5"/>
    </row>
    <row r="31" spans="1:14" ht="14.1">
      <c r="A31" s="29" t="s">
        <v>39</v>
      </c>
      <c r="B31" s="20"/>
      <c r="C31" s="44" t="s">
        <v>11</v>
      </c>
      <c r="D31" s="20"/>
      <c r="E31" s="29" t="s">
        <v>75</v>
      </c>
      <c r="F31" s="20"/>
      <c r="G31" s="44" t="s">
        <v>11</v>
      </c>
      <c r="H31" s="20"/>
      <c r="I31" s="44" t="s">
        <v>49</v>
      </c>
      <c r="J31" s="20"/>
      <c r="K31" s="44" t="s">
        <v>50</v>
      </c>
      <c r="L31" s="20"/>
      <c r="M31" s="44" t="s">
        <v>50</v>
      </c>
      <c r="N31" s="20"/>
    </row>
    <row r="32" spans="1:14" ht="14.1">
      <c r="A32" s="27" t="s">
        <v>59</v>
      </c>
      <c r="B32" s="20"/>
      <c r="C32" s="27" t="s">
        <v>59</v>
      </c>
      <c r="D32" s="20"/>
      <c r="E32" s="27" t="s">
        <v>59</v>
      </c>
      <c r="F32" s="20"/>
      <c r="G32" s="27" t="s">
        <v>59</v>
      </c>
      <c r="H32" s="20"/>
      <c r="I32" s="26" t="s">
        <v>51</v>
      </c>
      <c r="J32" s="20"/>
      <c r="K32" s="26" t="s">
        <v>51</v>
      </c>
      <c r="L32" s="20"/>
      <c r="M32" s="26" t="s">
        <v>51</v>
      </c>
      <c r="N32" s="20"/>
    </row>
    <row r="33" spans="1:14" ht="14.1">
      <c r="A33" s="19" t="s">
        <v>9</v>
      </c>
      <c r="B33" s="20"/>
      <c r="C33" s="35" t="s">
        <v>9</v>
      </c>
      <c r="D33" s="20"/>
      <c r="E33" s="19" t="s">
        <v>31</v>
      </c>
      <c r="F33" s="20"/>
      <c r="G33" s="35" t="s">
        <v>9</v>
      </c>
      <c r="H33" s="20"/>
      <c r="I33" s="35" t="s">
        <v>31</v>
      </c>
      <c r="J33" s="20"/>
      <c r="K33" s="35" t="s">
        <v>76</v>
      </c>
      <c r="L33" s="20"/>
      <c r="M33" s="35" t="s">
        <v>76</v>
      </c>
      <c r="N33" s="20"/>
    </row>
    <row r="34" spans="1:14" ht="14.1">
      <c r="A34" s="21" t="s">
        <v>15</v>
      </c>
      <c r="B34" s="20"/>
      <c r="C34" s="30" t="s">
        <v>15</v>
      </c>
      <c r="D34" s="20"/>
      <c r="E34" s="21" t="s">
        <v>15</v>
      </c>
      <c r="F34" s="20"/>
      <c r="G34" s="21" t="s">
        <v>15</v>
      </c>
      <c r="H34" s="20"/>
      <c r="I34" s="21" t="s">
        <v>15</v>
      </c>
      <c r="J34" s="20"/>
      <c r="K34" s="21" t="s">
        <v>15</v>
      </c>
      <c r="L34" s="20"/>
      <c r="M34" s="21" t="s">
        <v>15</v>
      </c>
      <c r="N34" s="20"/>
    </row>
    <row r="35" spans="1:14" ht="14.1">
      <c r="A35" s="56" t="s">
        <v>16</v>
      </c>
      <c r="B35" s="20"/>
      <c r="C35" s="56" t="s">
        <v>16</v>
      </c>
      <c r="D35" s="20"/>
      <c r="E35" s="56" t="s">
        <v>16</v>
      </c>
      <c r="F35" s="20"/>
      <c r="G35" s="56" t="s">
        <v>16</v>
      </c>
      <c r="H35" s="20"/>
      <c r="I35" s="56" t="s">
        <v>16</v>
      </c>
      <c r="J35" s="20"/>
      <c r="K35" s="56" t="s">
        <v>16</v>
      </c>
      <c r="L35" s="20"/>
      <c r="M35" s="56" t="s">
        <v>16</v>
      </c>
      <c r="N35" s="20"/>
    </row>
    <row r="36" spans="1:14" ht="14.1">
      <c r="A36" s="23" t="s">
        <v>27</v>
      </c>
      <c r="B36" s="20"/>
      <c r="C36" s="22" t="s">
        <v>27</v>
      </c>
      <c r="D36" s="20"/>
      <c r="E36" s="23" t="s">
        <v>71</v>
      </c>
      <c r="F36" s="20"/>
      <c r="G36" s="22" t="s">
        <v>26</v>
      </c>
      <c r="H36" s="20"/>
      <c r="I36" s="22" t="s">
        <v>27</v>
      </c>
      <c r="J36" s="20"/>
      <c r="K36" s="22" t="s">
        <v>19</v>
      </c>
      <c r="L36" s="20"/>
      <c r="M36" s="22" t="s">
        <v>19</v>
      </c>
      <c r="N36" s="20"/>
    </row>
    <row r="37" spans="1:14" ht="18" customHeight="1">
      <c r="A37" s="25" t="s">
        <v>30</v>
      </c>
      <c r="B37" s="20"/>
      <c r="C37" s="25" t="s">
        <v>30</v>
      </c>
      <c r="D37" s="20"/>
      <c r="E37" s="25" t="s">
        <v>29</v>
      </c>
      <c r="F37" s="20"/>
      <c r="G37" s="25" t="s">
        <v>29</v>
      </c>
      <c r="H37" s="20"/>
      <c r="I37" s="25" t="s">
        <v>77</v>
      </c>
      <c r="J37" s="20"/>
      <c r="K37" s="25" t="s">
        <v>77</v>
      </c>
      <c r="L37" s="20"/>
      <c r="M37" s="25" t="s">
        <v>30</v>
      </c>
      <c r="N37" s="20"/>
    </row>
    <row r="38" spans="1:14" ht="18" customHeight="1">
      <c r="A38" s="2">
        <f>IF(M30="","",IF(MONTH(M30+1)&lt;&gt;MONTH($A$1),"",M30+1))</f>
        <v>45439</v>
      </c>
      <c r="B38" s="3"/>
      <c r="C38" s="2">
        <f>IF(A38="","",IF(MONTH(A38+1)&lt;&gt;MONTH($A$1),"",A38+1))</f>
        <v>45440</v>
      </c>
      <c r="D38" s="3"/>
      <c r="E38" s="2">
        <f>IF(C38="","",IF(MONTH(C38+1)&lt;&gt;MONTH($A$1),"",C38+1))</f>
        <v>45441</v>
      </c>
      <c r="F38" s="3"/>
      <c r="G38" s="2">
        <f>IF(E38="","",IF(MONTH(E38+1)&lt;&gt;MONTH($A$1),"",E38+1))</f>
        <v>45442</v>
      </c>
      <c r="H38" s="3"/>
      <c r="I38" s="2">
        <f>IF(G38="","",IF(MONTH(G38+1)&lt;&gt;MONTH($A$1),"",G38+1))</f>
        <v>45443</v>
      </c>
      <c r="J38" s="3"/>
      <c r="K38" s="4" t="str">
        <f>IF(I38="","",IF(MONTH(I38+1)&lt;&gt;MONTH($A$1),"",I38+1))</f>
        <v/>
      </c>
      <c r="L38" s="5"/>
      <c r="M38" s="4" t="str">
        <f>IF(K38="","",IF(MONTH(K38+1)&lt;&gt;MONTH($A$1),"",K38+1))</f>
        <v/>
      </c>
      <c r="N38" s="5"/>
    </row>
    <row r="39" spans="1:14" ht="14.1">
      <c r="A39" s="29" t="s">
        <v>52</v>
      </c>
      <c r="B39" s="20"/>
      <c r="C39" s="44" t="s">
        <v>50</v>
      </c>
      <c r="D39" s="20"/>
      <c r="E39" s="29" t="s">
        <v>78</v>
      </c>
      <c r="F39" s="20"/>
      <c r="G39" s="44" t="s">
        <v>50</v>
      </c>
      <c r="H39" s="20"/>
      <c r="I39" s="44" t="s">
        <v>31</v>
      </c>
      <c r="J39" s="20"/>
      <c r="K39" s="44" t="s">
        <v>9</v>
      </c>
      <c r="L39" s="20"/>
      <c r="M39" s="44" t="s">
        <v>9</v>
      </c>
      <c r="N39" s="20"/>
    </row>
    <row r="40" spans="1:14" ht="14.1">
      <c r="A40" s="27" t="s">
        <v>51</v>
      </c>
      <c r="B40" s="20"/>
      <c r="C40" s="26" t="s">
        <v>51</v>
      </c>
      <c r="D40" s="20"/>
      <c r="E40" s="26" t="s">
        <v>51</v>
      </c>
      <c r="F40" s="20"/>
      <c r="G40" s="26" t="s">
        <v>51</v>
      </c>
      <c r="H40" s="20"/>
      <c r="I40" s="26" t="s">
        <v>25</v>
      </c>
      <c r="J40" s="20"/>
      <c r="K40" s="26" t="s">
        <v>25</v>
      </c>
      <c r="L40" s="20"/>
      <c r="M40" s="26" t="s">
        <v>25</v>
      </c>
      <c r="N40" s="20"/>
    </row>
    <row r="41" spans="1:14" ht="14.1">
      <c r="A41" s="19" t="s">
        <v>9</v>
      </c>
      <c r="B41" s="20"/>
      <c r="C41" s="35" t="s">
        <v>9</v>
      </c>
      <c r="D41" s="20"/>
      <c r="E41" s="19" t="s">
        <v>53</v>
      </c>
      <c r="F41" s="20"/>
      <c r="G41" s="35" t="s">
        <v>9</v>
      </c>
      <c r="H41" s="20"/>
      <c r="I41" s="35" t="s">
        <v>75</v>
      </c>
      <c r="J41" s="20"/>
      <c r="K41" s="35" t="s">
        <v>39</v>
      </c>
      <c r="L41" s="20"/>
      <c r="M41" s="35" t="s">
        <v>39</v>
      </c>
      <c r="N41" s="20"/>
    </row>
    <row r="42" spans="1:14" ht="14.1">
      <c r="A42" s="21" t="s">
        <v>24</v>
      </c>
      <c r="B42" s="20"/>
      <c r="C42" s="21" t="s">
        <v>24</v>
      </c>
      <c r="D42" s="20"/>
      <c r="E42" s="21" t="s">
        <v>24</v>
      </c>
      <c r="F42" s="20"/>
      <c r="G42" s="21" t="s">
        <v>24</v>
      </c>
      <c r="H42" s="20"/>
      <c r="I42" s="30" t="s">
        <v>15</v>
      </c>
      <c r="J42" s="20"/>
      <c r="K42" s="30" t="s">
        <v>15</v>
      </c>
      <c r="L42" s="20"/>
      <c r="M42" s="30" t="s">
        <v>15</v>
      </c>
      <c r="N42" s="20"/>
    </row>
    <row r="43" spans="1:14" ht="14.1">
      <c r="A43" s="56" t="s">
        <v>13</v>
      </c>
      <c r="B43" s="20"/>
      <c r="C43" s="56" t="s">
        <v>13</v>
      </c>
      <c r="D43" s="20"/>
      <c r="E43" s="56" t="s">
        <v>13</v>
      </c>
      <c r="F43" s="20"/>
      <c r="G43" s="56" t="s">
        <v>13</v>
      </c>
      <c r="H43" s="20"/>
      <c r="I43" s="56" t="s">
        <v>13</v>
      </c>
      <c r="J43" s="20"/>
      <c r="K43" s="56" t="s">
        <v>13</v>
      </c>
      <c r="L43" s="20"/>
      <c r="M43" s="56" t="s">
        <v>13</v>
      </c>
      <c r="N43" s="20"/>
    </row>
    <row r="44" spans="1:14" ht="14.1">
      <c r="A44" s="23" t="s">
        <v>28</v>
      </c>
      <c r="B44" s="20"/>
      <c r="C44" s="22" t="s">
        <v>17</v>
      </c>
      <c r="D44" s="20"/>
      <c r="E44" s="23" t="s">
        <v>28</v>
      </c>
      <c r="F44" s="20"/>
      <c r="G44" s="22" t="s">
        <v>17</v>
      </c>
      <c r="H44" s="20"/>
      <c r="I44" s="22" t="s">
        <v>17</v>
      </c>
      <c r="J44" s="20"/>
      <c r="K44" s="22" t="s">
        <v>17</v>
      </c>
      <c r="L44" s="20"/>
      <c r="M44" s="22" t="s">
        <v>17</v>
      </c>
      <c r="N44" s="20"/>
    </row>
    <row r="45" spans="1:14" ht="18" customHeight="1">
      <c r="A45" s="25" t="s">
        <v>30</v>
      </c>
      <c r="B45" s="20"/>
      <c r="C45" s="25" t="s">
        <v>29</v>
      </c>
      <c r="D45" s="20"/>
      <c r="E45" s="25" t="s">
        <v>30</v>
      </c>
      <c r="F45" s="20"/>
      <c r="G45" s="25" t="s">
        <v>29</v>
      </c>
      <c r="H45" s="20"/>
      <c r="I45" s="25" t="s">
        <v>29</v>
      </c>
      <c r="J45" s="20"/>
      <c r="K45" s="25" t="s">
        <v>41</v>
      </c>
      <c r="L45" s="20"/>
      <c r="M45" s="25" t="s">
        <v>41</v>
      </c>
      <c r="N45" s="20"/>
    </row>
    <row r="46" spans="1:14" ht="18" customHeight="1">
      <c r="A46" s="2" t="str">
        <f>IF(M38="","",IF(MONTH(M38+1)&lt;&gt;MONTH($A$1),"",M38+1))</f>
        <v/>
      </c>
      <c r="B46" s="3"/>
      <c r="C46" s="2" t="str">
        <f>IF(A46="","",IF(MONTH(A46+1)&lt;&gt;MONTH($A$1),"",A46+1))</f>
        <v/>
      </c>
      <c r="D46" s="3"/>
      <c r="E46" s="46" t="s">
        <v>22</v>
      </c>
      <c r="F46" s="47"/>
      <c r="G46" s="48"/>
      <c r="H46" s="47"/>
      <c r="I46" s="47"/>
      <c r="J46" s="47"/>
      <c r="K46" s="47"/>
      <c r="L46" s="47"/>
      <c r="M46" s="47"/>
      <c r="N46" s="49"/>
    </row>
    <row r="47" spans="1:14" ht="14.1">
      <c r="A47" s="29" t="s">
        <v>9</v>
      </c>
      <c r="B47" s="20"/>
      <c r="C47" s="44"/>
      <c r="D47" s="20"/>
      <c r="E47" s="45" t="s">
        <v>79</v>
      </c>
      <c r="F47" s="37"/>
      <c r="G47" s="37"/>
      <c r="H47" s="37"/>
      <c r="I47" s="37"/>
      <c r="J47" s="37"/>
      <c r="K47" s="37"/>
      <c r="L47" s="37"/>
      <c r="M47" s="37"/>
      <c r="N47" s="20"/>
    </row>
    <row r="48" spans="1:14" ht="14.1">
      <c r="A48" s="27" t="s">
        <v>25</v>
      </c>
      <c r="B48" s="20"/>
      <c r="C48" s="26"/>
      <c r="D48" s="20"/>
      <c r="E48" s="45" t="s">
        <v>80</v>
      </c>
      <c r="F48" s="37"/>
      <c r="G48" s="37"/>
      <c r="H48" s="37"/>
      <c r="I48" s="37"/>
      <c r="J48" s="37"/>
      <c r="K48" s="37"/>
      <c r="L48" s="37"/>
      <c r="M48" s="37"/>
      <c r="N48" s="20"/>
    </row>
    <row r="49" spans="1:14" ht="14.1">
      <c r="A49" s="19" t="s">
        <v>13</v>
      </c>
      <c r="B49" s="20"/>
      <c r="C49" s="35"/>
      <c r="D49" s="20"/>
      <c r="E49" s="45"/>
      <c r="F49" s="37"/>
      <c r="G49" s="37"/>
      <c r="H49" s="37"/>
      <c r="I49" s="37"/>
      <c r="J49" s="37"/>
      <c r="K49" s="37"/>
      <c r="L49" s="37"/>
      <c r="M49" s="37"/>
      <c r="N49" s="20"/>
    </row>
    <row r="50" spans="1:14" ht="14.1">
      <c r="A50" s="21" t="s">
        <v>15</v>
      </c>
      <c r="B50" s="20"/>
      <c r="C50" s="30"/>
      <c r="D50" s="20"/>
      <c r="E50" s="6"/>
      <c r="F50" s="7"/>
      <c r="G50" s="7"/>
      <c r="H50" s="7"/>
      <c r="I50" s="7"/>
      <c r="J50" s="7"/>
      <c r="K50" s="7"/>
      <c r="L50" s="7"/>
      <c r="M50" s="7"/>
      <c r="N50" s="8"/>
    </row>
    <row r="51" spans="1:14" ht="14.1">
      <c r="A51" s="56" t="s">
        <v>25</v>
      </c>
      <c r="B51" s="20"/>
      <c r="C51" s="57"/>
      <c r="D51" s="20"/>
      <c r="E51" s="6"/>
      <c r="F51" s="7"/>
      <c r="G51" s="7"/>
      <c r="H51" s="7"/>
      <c r="I51" s="7"/>
      <c r="J51" s="7"/>
      <c r="K51" s="7"/>
      <c r="L51" s="7"/>
      <c r="M51" s="7"/>
      <c r="N51" s="8"/>
    </row>
    <row r="52" spans="1:14" ht="14.1">
      <c r="A52" s="23" t="s">
        <v>27</v>
      </c>
      <c r="B52" s="20"/>
      <c r="C52" s="22"/>
      <c r="D52" s="20"/>
      <c r="E52" s="6"/>
      <c r="F52" s="7"/>
      <c r="G52" s="7"/>
      <c r="H52" s="7"/>
      <c r="I52" s="7"/>
      <c r="J52" s="7"/>
      <c r="K52" s="7"/>
      <c r="L52" s="7"/>
      <c r="M52" s="7"/>
      <c r="N52" s="8"/>
    </row>
    <row r="53" spans="1:14" ht="14.1">
      <c r="A53" s="25" t="s">
        <v>50</v>
      </c>
      <c r="B53" s="20"/>
      <c r="C53" s="31"/>
      <c r="D53" s="24"/>
      <c r="E53" s="32" t="s">
        <v>23</v>
      </c>
      <c r="F53" s="33"/>
      <c r="G53" s="33"/>
      <c r="H53" s="33"/>
      <c r="I53" s="34" t="str">
        <f>HYPERLINK("https://www.vertex42.com/calendars/academic-calendar.html","https://www.vertex42.com/calendars/academic-calendar.html")</f>
        <v>https://www.vertex42.com/calendars/academic-calendar.html</v>
      </c>
      <c r="J53" s="33"/>
      <c r="K53" s="33"/>
      <c r="L53" s="33"/>
      <c r="M53" s="33"/>
      <c r="N53" s="24"/>
    </row>
  </sheetData>
  <mergeCells count="283">
    <mergeCell ref="C42:D42"/>
    <mergeCell ref="E42:F42"/>
    <mergeCell ref="G42:H42"/>
    <mergeCell ref="I42:J42"/>
    <mergeCell ref="K42:L42"/>
    <mergeCell ref="M42:N42"/>
    <mergeCell ref="A42:B42"/>
    <mergeCell ref="C43:D43"/>
    <mergeCell ref="E43:F43"/>
    <mergeCell ref="G43:H43"/>
    <mergeCell ref="I43:J43"/>
    <mergeCell ref="K43:L43"/>
    <mergeCell ref="M43:N43"/>
    <mergeCell ref="A43:B43"/>
    <mergeCell ref="C40:D40"/>
    <mergeCell ref="E40:F40"/>
    <mergeCell ref="G40:H40"/>
    <mergeCell ref="I40:J40"/>
    <mergeCell ref="K40:L40"/>
    <mergeCell ref="M40:N40"/>
    <mergeCell ref="A40:B40"/>
    <mergeCell ref="C41:D41"/>
    <mergeCell ref="E41:F41"/>
    <mergeCell ref="G41:H41"/>
    <mergeCell ref="I41:J41"/>
    <mergeCell ref="K41:L41"/>
    <mergeCell ref="M41:N41"/>
    <mergeCell ref="A41:B41"/>
    <mergeCell ref="C35:D35"/>
    <mergeCell ref="E35:F35"/>
    <mergeCell ref="G35:H35"/>
    <mergeCell ref="I35:J35"/>
    <mergeCell ref="K35:L35"/>
    <mergeCell ref="M35:N35"/>
    <mergeCell ref="A35:B35"/>
    <mergeCell ref="C36:D36"/>
    <mergeCell ref="E36:F36"/>
    <mergeCell ref="G36:H36"/>
    <mergeCell ref="I36:J36"/>
    <mergeCell ref="K36:L36"/>
    <mergeCell ref="M36:N36"/>
    <mergeCell ref="A36:B36"/>
    <mergeCell ref="C33:D33"/>
    <mergeCell ref="E33:F33"/>
    <mergeCell ref="G33:H33"/>
    <mergeCell ref="I33:J33"/>
    <mergeCell ref="K33:L33"/>
    <mergeCell ref="M33:N33"/>
    <mergeCell ref="A33:B33"/>
    <mergeCell ref="C34:D34"/>
    <mergeCell ref="E34:F34"/>
    <mergeCell ref="G34:H34"/>
    <mergeCell ref="I34:J34"/>
    <mergeCell ref="K34:L34"/>
    <mergeCell ref="M34:N34"/>
    <mergeCell ref="A34:B34"/>
    <mergeCell ref="C31:D31"/>
    <mergeCell ref="E31:F31"/>
    <mergeCell ref="G31:H31"/>
    <mergeCell ref="I31:J31"/>
    <mergeCell ref="K31:L31"/>
    <mergeCell ref="M31:N31"/>
    <mergeCell ref="A31:B31"/>
    <mergeCell ref="C32:D32"/>
    <mergeCell ref="E32:F32"/>
    <mergeCell ref="G32:H32"/>
    <mergeCell ref="I32:J32"/>
    <mergeCell ref="K32:L32"/>
    <mergeCell ref="M32:N32"/>
    <mergeCell ref="A32:B32"/>
    <mergeCell ref="C28:D28"/>
    <mergeCell ref="E28:F28"/>
    <mergeCell ref="G28:H28"/>
    <mergeCell ref="I28:J28"/>
    <mergeCell ref="K28:L28"/>
    <mergeCell ref="M28:N28"/>
    <mergeCell ref="A28:B28"/>
    <mergeCell ref="C29:D29"/>
    <mergeCell ref="E29:F29"/>
    <mergeCell ref="G29:H29"/>
    <mergeCell ref="I29:J29"/>
    <mergeCell ref="K29:L29"/>
    <mergeCell ref="M29:N29"/>
    <mergeCell ref="A29:B29"/>
    <mergeCell ref="C21:D21"/>
    <mergeCell ref="E21:F21"/>
    <mergeCell ref="G21:H21"/>
    <mergeCell ref="I21:J21"/>
    <mergeCell ref="K21:L21"/>
    <mergeCell ref="M21:N21"/>
    <mergeCell ref="A21:B21"/>
    <mergeCell ref="C23:D23"/>
    <mergeCell ref="E23:F23"/>
    <mergeCell ref="G23:H23"/>
    <mergeCell ref="I23:J23"/>
    <mergeCell ref="K23:L23"/>
    <mergeCell ref="M23:N23"/>
    <mergeCell ref="A23:B23"/>
    <mergeCell ref="A52:B52"/>
    <mergeCell ref="C52:D52"/>
    <mergeCell ref="A53:B53"/>
    <mergeCell ref="C53:D53"/>
    <mergeCell ref="E53:H53"/>
    <mergeCell ref="I53:N53"/>
    <mergeCell ref="A49:B49"/>
    <mergeCell ref="C49:D49"/>
    <mergeCell ref="E49:N49"/>
    <mergeCell ref="A50:B50"/>
    <mergeCell ref="C50:D50"/>
    <mergeCell ref="A51:B51"/>
    <mergeCell ref="C51:D51"/>
    <mergeCell ref="C8:D8"/>
    <mergeCell ref="E8:F8"/>
    <mergeCell ref="G8:H8"/>
    <mergeCell ref="I8:J8"/>
    <mergeCell ref="K8:L8"/>
    <mergeCell ref="M8:N8"/>
    <mergeCell ref="A8:B8"/>
    <mergeCell ref="C9:D9"/>
    <mergeCell ref="E9:F9"/>
    <mergeCell ref="G9:H9"/>
    <mergeCell ref="I9:J9"/>
    <mergeCell ref="K9:L9"/>
    <mergeCell ref="M9:N9"/>
    <mergeCell ref="A9:B9"/>
    <mergeCell ref="C5:D5"/>
    <mergeCell ref="E5:F5"/>
    <mergeCell ref="G5:H5"/>
    <mergeCell ref="I5:J5"/>
    <mergeCell ref="K5:L5"/>
    <mergeCell ref="M5:N5"/>
    <mergeCell ref="A5:B5"/>
    <mergeCell ref="C7:D7"/>
    <mergeCell ref="E7:F7"/>
    <mergeCell ref="G7:H7"/>
    <mergeCell ref="I7:J7"/>
    <mergeCell ref="K7:L7"/>
    <mergeCell ref="M7:N7"/>
    <mergeCell ref="A7:B7"/>
    <mergeCell ref="K3:L3"/>
    <mergeCell ref="M3:N3"/>
    <mergeCell ref="A1:N1"/>
    <mergeCell ref="A2:N2"/>
    <mergeCell ref="C3:D3"/>
    <mergeCell ref="E3:F3"/>
    <mergeCell ref="G3:H3"/>
    <mergeCell ref="I3:J3"/>
    <mergeCell ref="A4:N4"/>
    <mergeCell ref="A3:B3"/>
    <mergeCell ref="C48:D48"/>
    <mergeCell ref="E48:N48"/>
    <mergeCell ref="E45:F45"/>
    <mergeCell ref="E46:F46"/>
    <mergeCell ref="G46:N46"/>
    <mergeCell ref="A47:B47"/>
    <mergeCell ref="C47:D47"/>
    <mergeCell ref="E47:N47"/>
    <mergeCell ref="A48:B48"/>
    <mergeCell ref="C44:D44"/>
    <mergeCell ref="E44:F44"/>
    <mergeCell ref="G44:H44"/>
    <mergeCell ref="I44:J44"/>
    <mergeCell ref="K44:L44"/>
    <mergeCell ref="M44:N44"/>
    <mergeCell ref="A44:B44"/>
    <mergeCell ref="A45:B45"/>
    <mergeCell ref="C45:D45"/>
    <mergeCell ref="G45:H45"/>
    <mergeCell ref="I45:J45"/>
    <mergeCell ref="K45:L45"/>
    <mergeCell ref="M45:N45"/>
    <mergeCell ref="C37:D37"/>
    <mergeCell ref="E37:F37"/>
    <mergeCell ref="G37:H37"/>
    <mergeCell ref="I37:J37"/>
    <mergeCell ref="K37:L37"/>
    <mergeCell ref="M37:N37"/>
    <mergeCell ref="A37:B37"/>
    <mergeCell ref="C39:D39"/>
    <mergeCell ref="E39:F39"/>
    <mergeCell ref="G39:H39"/>
    <mergeCell ref="I39:J39"/>
    <mergeCell ref="K39:L39"/>
    <mergeCell ref="M39:N39"/>
    <mergeCell ref="A39:B39"/>
    <mergeCell ref="C26:D26"/>
    <mergeCell ref="E26:F26"/>
    <mergeCell ref="G26:H26"/>
    <mergeCell ref="I26:J26"/>
    <mergeCell ref="K26:L26"/>
    <mergeCell ref="M26:N26"/>
    <mergeCell ref="A26:B26"/>
    <mergeCell ref="C27:D27"/>
    <mergeCell ref="E27:F27"/>
    <mergeCell ref="G27:H27"/>
    <mergeCell ref="I27:J27"/>
    <mergeCell ref="K27:L27"/>
    <mergeCell ref="M27:N27"/>
    <mergeCell ref="A27:B27"/>
    <mergeCell ref="C24:D24"/>
    <mergeCell ref="E24:F24"/>
    <mergeCell ref="G24:H24"/>
    <mergeCell ref="I24:J24"/>
    <mergeCell ref="K24:L24"/>
    <mergeCell ref="M24:N24"/>
    <mergeCell ref="A24:B24"/>
    <mergeCell ref="C25:D25"/>
    <mergeCell ref="E25:F25"/>
    <mergeCell ref="G25:H25"/>
    <mergeCell ref="I25:J25"/>
    <mergeCell ref="K25:L25"/>
    <mergeCell ref="M25:N25"/>
    <mergeCell ref="A25:B25"/>
    <mergeCell ref="C19:D19"/>
    <mergeCell ref="E19:F19"/>
    <mergeCell ref="G19:H19"/>
    <mergeCell ref="I19:J19"/>
    <mergeCell ref="K19:L19"/>
    <mergeCell ref="M19:N19"/>
    <mergeCell ref="A19:B19"/>
    <mergeCell ref="C20:D20"/>
    <mergeCell ref="E20:F20"/>
    <mergeCell ref="G20:H20"/>
    <mergeCell ref="I20:J20"/>
    <mergeCell ref="K20:L20"/>
    <mergeCell ref="M20:N20"/>
    <mergeCell ref="A20:B20"/>
    <mergeCell ref="C17:D17"/>
    <mergeCell ref="E17:F17"/>
    <mergeCell ref="G17:H17"/>
    <mergeCell ref="I17:J17"/>
    <mergeCell ref="K17:L17"/>
    <mergeCell ref="M17:N17"/>
    <mergeCell ref="A17:B17"/>
    <mergeCell ref="C18:D18"/>
    <mergeCell ref="E18:F18"/>
    <mergeCell ref="G18:H18"/>
    <mergeCell ref="I18:J18"/>
    <mergeCell ref="K18:L18"/>
    <mergeCell ref="M18:N18"/>
    <mergeCell ref="A18:B18"/>
    <mergeCell ref="C15:D15"/>
    <mergeCell ref="E15:F15"/>
    <mergeCell ref="G15:H15"/>
    <mergeCell ref="I15:J15"/>
    <mergeCell ref="K15:L15"/>
    <mergeCell ref="M15:N15"/>
    <mergeCell ref="A15:B15"/>
    <mergeCell ref="C16:D16"/>
    <mergeCell ref="E16:F16"/>
    <mergeCell ref="G16:H16"/>
    <mergeCell ref="I16:J16"/>
    <mergeCell ref="K16:L16"/>
    <mergeCell ref="M16:N16"/>
    <mergeCell ref="A16:B16"/>
    <mergeCell ref="C12:D12"/>
    <mergeCell ref="E12:F12"/>
    <mergeCell ref="G12:H12"/>
    <mergeCell ref="I12:J12"/>
    <mergeCell ref="K12:L12"/>
    <mergeCell ref="M12:N12"/>
    <mergeCell ref="A12:B12"/>
    <mergeCell ref="C13:D13"/>
    <mergeCell ref="E13:F13"/>
    <mergeCell ref="G13:H13"/>
    <mergeCell ref="I13:J13"/>
    <mergeCell ref="K13:L13"/>
    <mergeCell ref="M13:N13"/>
    <mergeCell ref="A13:B13"/>
    <mergeCell ref="C10:D10"/>
    <mergeCell ref="E10:F10"/>
    <mergeCell ref="G10:H10"/>
    <mergeCell ref="I10:J10"/>
    <mergeCell ref="K10:L10"/>
    <mergeCell ref="M10:N10"/>
    <mergeCell ref="A10:B10"/>
    <mergeCell ref="C11:D11"/>
    <mergeCell ref="E11:F11"/>
    <mergeCell ref="G11:H11"/>
    <mergeCell ref="I11:J11"/>
    <mergeCell ref="K11:L11"/>
    <mergeCell ref="M11:N11"/>
    <mergeCell ref="A11:B11"/>
  </mergeCells>
  <printOptions horizontalCentered="1" gridLines="1"/>
  <pageMargins left="0.25" right="0.25" top="0.5" bottom="0.5" header="0" footer="0"/>
  <pageSetup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N53"/>
  <sheetViews>
    <sheetView showGridLines="0" topLeftCell="A2" workbookViewId="0"/>
  </sheetViews>
  <sheetFormatPr defaultColWidth="12.5703125" defaultRowHeight="12.75" customHeight="1"/>
  <cols>
    <col min="1" max="1" width="3.85546875" customWidth="1"/>
    <col min="2" max="2" width="13.42578125" customWidth="1"/>
    <col min="3" max="3" width="3.85546875" customWidth="1"/>
    <col min="4" max="4" width="13.42578125" customWidth="1"/>
    <col min="5" max="5" width="3.85546875" customWidth="1"/>
    <col min="6" max="6" width="13.42578125" customWidth="1"/>
    <col min="7" max="7" width="3.85546875" customWidth="1"/>
    <col min="8" max="8" width="13.42578125" customWidth="1"/>
    <col min="9" max="9" width="3.85546875" customWidth="1"/>
    <col min="10" max="10" width="13.42578125" customWidth="1"/>
    <col min="11" max="11" width="3.85546875" customWidth="1"/>
    <col min="12" max="12" width="13.42578125" customWidth="1"/>
    <col min="13" max="13" width="3.85546875" customWidth="1"/>
    <col min="14" max="14" width="13.42578125" customWidth="1"/>
  </cols>
  <sheetData>
    <row r="1" spans="1:14" ht="18" hidden="1" customHeight="1">
      <c r="A1" s="52">
        <f>EDATE('©'!A17,11)</f>
        <v>45444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4" ht="18" customHeight="1">
      <c r="A2" s="39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1:14" ht="18" customHeight="1">
      <c r="A3" s="29" t="s">
        <v>2</v>
      </c>
      <c r="B3" s="37"/>
      <c r="C3" s="27" t="s">
        <v>3</v>
      </c>
      <c r="D3" s="37"/>
      <c r="E3" s="19" t="s">
        <v>4</v>
      </c>
      <c r="F3" s="37"/>
      <c r="G3" s="21" t="s">
        <v>5</v>
      </c>
      <c r="H3" s="37"/>
      <c r="I3" s="56" t="s">
        <v>6</v>
      </c>
      <c r="J3" s="37"/>
      <c r="K3" s="23" t="s">
        <v>7</v>
      </c>
      <c r="L3" s="37"/>
      <c r="M3" s="25" t="s">
        <v>8</v>
      </c>
      <c r="N3" s="37"/>
    </row>
    <row r="4" spans="1:14" ht="60.75" customHeight="1">
      <c r="A4" s="42" t="str">
        <f>UPPER(TEXT(A1,"mmmm yyyy"))</f>
        <v>JUNE 2024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</row>
    <row r="5" spans="1:14" ht="15" customHeight="1">
      <c r="A5" s="40">
        <f>A14</f>
        <v>45446</v>
      </c>
      <c r="B5" s="41"/>
      <c r="C5" s="40">
        <f>C14</f>
        <v>45447</v>
      </c>
      <c r="D5" s="41"/>
      <c r="E5" s="40">
        <f>E14</f>
        <v>45448</v>
      </c>
      <c r="F5" s="41"/>
      <c r="G5" s="40">
        <f>G14</f>
        <v>45449</v>
      </c>
      <c r="H5" s="41"/>
      <c r="I5" s="40">
        <f>I14</f>
        <v>45450</v>
      </c>
      <c r="J5" s="41"/>
      <c r="K5" s="40">
        <f>K14</f>
        <v>45451</v>
      </c>
      <c r="L5" s="41"/>
      <c r="M5" s="40">
        <f>M14</f>
        <v>45452</v>
      </c>
      <c r="N5" s="41"/>
    </row>
    <row r="6" spans="1:14" ht="18" customHeight="1">
      <c r="A6" s="2" t="str">
        <f>IF(WEEKDAY($A$1,1)=startday,$A$1,"")</f>
        <v/>
      </c>
      <c r="B6" s="3"/>
      <c r="C6" s="2" t="str">
        <f>IF(A6="",IF(WEEKDAY($A$1,1)=MOD(startday,7)+1,$A$1,""),A6+1)</f>
        <v/>
      </c>
      <c r="D6" s="3"/>
      <c r="E6" s="2" t="str">
        <f>IF(C6="",IF(WEEKDAY($A$1,1)=MOD(startday,7)+2,$A$1,""),C6+1)</f>
        <v/>
      </c>
      <c r="F6" s="3"/>
      <c r="G6" s="2" t="str">
        <f>IF(E6="",IF(WEEKDAY($A$1,1)=MOD(startday,7)+3,$A$1,""),E6+1)</f>
        <v/>
      </c>
      <c r="H6" s="3"/>
      <c r="I6" s="2" t="str">
        <f>IF(G6="",IF(WEEKDAY($A$1,1)=MOD(startday,7)+4,$A$1,""),G6+1)</f>
        <v/>
      </c>
      <c r="J6" s="3"/>
      <c r="K6" s="4">
        <f>IF(I6="",IF(WEEKDAY($A$1,1)=MOD(startday,7)+5,$A$1,""),I6+1)</f>
        <v>45444</v>
      </c>
      <c r="L6" s="5"/>
      <c r="M6" s="4">
        <f>IF(K6="",IF(WEEKDAY($A$1,1)=MOD(startday+5,7)+1,$A$1,""),K6+1)</f>
        <v>45445</v>
      </c>
      <c r="N6" s="5"/>
    </row>
    <row r="7" spans="1:14" ht="14.1">
      <c r="A7" s="29"/>
      <c r="B7" s="20"/>
      <c r="C7" s="44" t="s">
        <v>9</v>
      </c>
      <c r="D7" s="20"/>
      <c r="E7" s="29" t="s">
        <v>45</v>
      </c>
      <c r="F7" s="20"/>
      <c r="G7" s="44" t="s">
        <v>9</v>
      </c>
      <c r="H7" s="20"/>
      <c r="I7" s="44" t="s">
        <v>78</v>
      </c>
      <c r="J7" s="20"/>
      <c r="K7" s="44" t="s">
        <v>50</v>
      </c>
      <c r="L7" s="20"/>
      <c r="M7" s="44" t="s">
        <v>52</v>
      </c>
      <c r="N7" s="20"/>
    </row>
    <row r="8" spans="1:14" ht="14.1">
      <c r="A8" s="27"/>
      <c r="B8" s="20"/>
      <c r="C8" s="26" t="s">
        <v>25</v>
      </c>
      <c r="D8" s="20"/>
      <c r="E8" s="26" t="s">
        <v>25</v>
      </c>
      <c r="F8" s="20"/>
      <c r="G8" s="26" t="s">
        <v>25</v>
      </c>
      <c r="H8" s="20"/>
      <c r="I8" s="26" t="s">
        <v>12</v>
      </c>
      <c r="J8" s="20"/>
      <c r="K8" s="26" t="s">
        <v>12</v>
      </c>
      <c r="L8" s="20"/>
      <c r="M8" s="26" t="s">
        <v>12</v>
      </c>
      <c r="N8" s="20"/>
    </row>
    <row r="9" spans="1:14" ht="14.1">
      <c r="A9" s="19"/>
      <c r="B9" s="20"/>
      <c r="C9" s="35" t="s">
        <v>11</v>
      </c>
      <c r="D9" s="20"/>
      <c r="E9" s="19" t="s">
        <v>39</v>
      </c>
      <c r="F9" s="20"/>
      <c r="G9" s="35" t="s">
        <v>11</v>
      </c>
      <c r="H9" s="20"/>
      <c r="I9" s="35" t="s">
        <v>53</v>
      </c>
      <c r="J9" s="20"/>
      <c r="K9" s="35" t="s">
        <v>10</v>
      </c>
      <c r="L9" s="20"/>
      <c r="M9" s="35" t="s">
        <v>39</v>
      </c>
      <c r="N9" s="20"/>
    </row>
    <row r="10" spans="1:14" ht="14.1">
      <c r="A10" s="21"/>
      <c r="B10" s="20"/>
      <c r="C10" s="30" t="s">
        <v>15</v>
      </c>
      <c r="D10" s="20"/>
      <c r="E10" s="30" t="s">
        <v>15</v>
      </c>
      <c r="F10" s="20"/>
      <c r="G10" s="30" t="s">
        <v>15</v>
      </c>
      <c r="H10" s="20"/>
      <c r="I10" s="30" t="s">
        <v>15</v>
      </c>
      <c r="J10" s="20"/>
      <c r="K10" s="30" t="s">
        <v>15</v>
      </c>
      <c r="L10" s="20"/>
      <c r="M10" s="30" t="s">
        <v>15</v>
      </c>
      <c r="N10" s="20"/>
    </row>
    <row r="11" spans="1:14" ht="14.1">
      <c r="A11" s="56"/>
      <c r="B11" s="20"/>
      <c r="C11" s="57" t="s">
        <v>25</v>
      </c>
      <c r="D11" s="20"/>
      <c r="E11" s="57" t="s">
        <v>25</v>
      </c>
      <c r="F11" s="20"/>
      <c r="G11" s="57" t="s">
        <v>25</v>
      </c>
      <c r="H11" s="20"/>
      <c r="I11" s="57" t="s">
        <v>25</v>
      </c>
      <c r="J11" s="20"/>
      <c r="K11" s="57" t="s">
        <v>25</v>
      </c>
      <c r="L11" s="20"/>
      <c r="M11" s="57" t="s">
        <v>25</v>
      </c>
      <c r="N11" s="20"/>
    </row>
    <row r="12" spans="1:14" ht="14.1">
      <c r="A12" s="23"/>
      <c r="B12" s="20"/>
      <c r="C12" s="22" t="s">
        <v>26</v>
      </c>
      <c r="D12" s="20"/>
      <c r="E12" s="23" t="s">
        <v>28</v>
      </c>
      <c r="F12" s="20"/>
      <c r="G12" s="22" t="s">
        <v>27</v>
      </c>
      <c r="H12" s="20"/>
      <c r="I12" s="22" t="s">
        <v>26</v>
      </c>
      <c r="J12" s="20"/>
      <c r="K12" s="22" t="s">
        <v>17</v>
      </c>
      <c r="L12" s="20"/>
      <c r="M12" s="22" t="s">
        <v>17</v>
      </c>
      <c r="N12" s="20"/>
    </row>
    <row r="13" spans="1:14" ht="18" customHeight="1">
      <c r="A13" s="25"/>
      <c r="B13" s="20"/>
      <c r="C13" s="31" t="s">
        <v>63</v>
      </c>
      <c r="D13" s="24"/>
      <c r="E13" s="31" t="s">
        <v>50</v>
      </c>
      <c r="F13" s="24"/>
      <c r="G13" s="31" t="s">
        <v>50</v>
      </c>
      <c r="H13" s="24"/>
      <c r="I13" s="31" t="s">
        <v>81</v>
      </c>
      <c r="J13" s="24"/>
      <c r="K13" s="31" t="s">
        <v>58</v>
      </c>
      <c r="L13" s="24"/>
      <c r="M13" s="31" t="s">
        <v>58</v>
      </c>
      <c r="N13" s="24"/>
    </row>
    <row r="14" spans="1:14" ht="18" customHeight="1">
      <c r="A14" s="2">
        <f>M6+1</f>
        <v>45446</v>
      </c>
      <c r="B14" s="3"/>
      <c r="C14" s="2">
        <f>A14+1</f>
        <v>45447</v>
      </c>
      <c r="D14" s="3"/>
      <c r="E14" s="2">
        <f>C14+1</f>
        <v>45448</v>
      </c>
      <c r="F14" s="3"/>
      <c r="G14" s="2">
        <f>E14+1</f>
        <v>45449</v>
      </c>
      <c r="H14" s="3"/>
      <c r="I14" s="2">
        <f>G14+1</f>
        <v>45450</v>
      </c>
      <c r="J14" s="3"/>
      <c r="K14" s="4">
        <f>I14+1</f>
        <v>45451</v>
      </c>
      <c r="L14" s="5"/>
      <c r="M14" s="4">
        <f>K14+1</f>
        <v>45452</v>
      </c>
      <c r="N14" s="5"/>
    </row>
    <row r="15" spans="1:14" ht="14.1">
      <c r="A15" s="29" t="s">
        <v>52</v>
      </c>
      <c r="B15" s="20"/>
      <c r="C15" s="44" t="s">
        <v>50</v>
      </c>
      <c r="D15" s="20"/>
      <c r="E15" s="29" t="s">
        <v>78</v>
      </c>
      <c r="F15" s="20"/>
      <c r="G15" s="44" t="s">
        <v>50</v>
      </c>
      <c r="H15" s="20"/>
      <c r="I15" s="44" t="s">
        <v>10</v>
      </c>
      <c r="J15" s="20"/>
      <c r="K15" s="44" t="s">
        <v>11</v>
      </c>
      <c r="L15" s="20"/>
      <c r="M15" s="44" t="s">
        <v>11</v>
      </c>
      <c r="N15" s="20"/>
    </row>
    <row r="16" spans="1:14" ht="14.1">
      <c r="A16" s="27" t="s">
        <v>12</v>
      </c>
      <c r="B16" s="20"/>
      <c r="C16" s="27" t="s">
        <v>12</v>
      </c>
      <c r="D16" s="20"/>
      <c r="E16" s="27" t="s">
        <v>12</v>
      </c>
      <c r="F16" s="20"/>
      <c r="G16" s="27" t="s">
        <v>12</v>
      </c>
      <c r="H16" s="20"/>
      <c r="I16" s="26" t="s">
        <v>38</v>
      </c>
      <c r="J16" s="20"/>
      <c r="K16" s="26" t="s">
        <v>38</v>
      </c>
      <c r="L16" s="20"/>
      <c r="M16" s="26" t="s">
        <v>38</v>
      </c>
      <c r="N16" s="20"/>
    </row>
    <row r="17" spans="1:14" ht="14.1">
      <c r="A17" s="19" t="s">
        <v>45</v>
      </c>
      <c r="B17" s="20"/>
      <c r="C17" s="35" t="s">
        <v>9</v>
      </c>
      <c r="D17" s="20"/>
      <c r="E17" s="19" t="s">
        <v>53</v>
      </c>
      <c r="F17" s="20"/>
      <c r="G17" s="35" t="s">
        <v>9</v>
      </c>
      <c r="H17" s="20"/>
      <c r="I17" s="35" t="s">
        <v>53</v>
      </c>
      <c r="J17" s="20"/>
      <c r="K17" s="35" t="s">
        <v>82</v>
      </c>
      <c r="L17" s="20"/>
      <c r="M17" s="35" t="s">
        <v>82</v>
      </c>
      <c r="N17" s="20"/>
    </row>
    <row r="18" spans="1:14" ht="14.1">
      <c r="A18" s="21" t="s">
        <v>24</v>
      </c>
      <c r="B18" s="20"/>
      <c r="C18" s="30" t="s">
        <v>24</v>
      </c>
      <c r="D18" s="20"/>
      <c r="E18" s="21" t="s">
        <v>15</v>
      </c>
      <c r="F18" s="20"/>
      <c r="G18" s="21" t="s">
        <v>15</v>
      </c>
      <c r="H18" s="20"/>
      <c r="I18" s="21" t="s">
        <v>15</v>
      </c>
      <c r="J18" s="20"/>
      <c r="K18" s="21" t="s">
        <v>15</v>
      </c>
      <c r="L18" s="20"/>
      <c r="M18" s="21" t="s">
        <v>15</v>
      </c>
      <c r="N18" s="20"/>
    </row>
    <row r="19" spans="1:14" ht="14.1">
      <c r="A19" s="56" t="s">
        <v>43</v>
      </c>
      <c r="B19" s="20"/>
      <c r="C19" s="56" t="s">
        <v>43</v>
      </c>
      <c r="D19" s="20"/>
      <c r="E19" s="56" t="s">
        <v>43</v>
      </c>
      <c r="F19" s="20"/>
      <c r="G19" s="56" t="s">
        <v>43</v>
      </c>
      <c r="H19" s="20"/>
      <c r="I19" s="56" t="s">
        <v>43</v>
      </c>
      <c r="J19" s="20"/>
      <c r="K19" s="56" t="s">
        <v>43</v>
      </c>
      <c r="L19" s="20"/>
      <c r="M19" s="56" t="s">
        <v>43</v>
      </c>
      <c r="N19" s="20"/>
    </row>
    <row r="20" spans="1:14" ht="14.1">
      <c r="A20" s="23" t="s">
        <v>17</v>
      </c>
      <c r="B20" s="20"/>
      <c r="C20" s="22" t="s">
        <v>17</v>
      </c>
      <c r="D20" s="20"/>
      <c r="E20" s="23" t="s">
        <v>28</v>
      </c>
      <c r="F20" s="20"/>
      <c r="G20" s="22" t="s">
        <v>26</v>
      </c>
      <c r="H20" s="20"/>
      <c r="I20" s="22" t="s">
        <v>27</v>
      </c>
      <c r="J20" s="20"/>
      <c r="K20" s="22" t="s">
        <v>19</v>
      </c>
      <c r="L20" s="20"/>
      <c r="M20" s="22" t="s">
        <v>19</v>
      </c>
      <c r="N20" s="20"/>
    </row>
    <row r="21" spans="1:14" ht="18" customHeight="1">
      <c r="A21" s="25" t="s">
        <v>29</v>
      </c>
      <c r="B21" s="20"/>
      <c r="C21" s="25" t="s">
        <v>29</v>
      </c>
      <c r="D21" s="20"/>
      <c r="E21" s="25" t="s">
        <v>30</v>
      </c>
      <c r="F21" s="20"/>
      <c r="G21" s="25" t="s">
        <v>29</v>
      </c>
      <c r="H21" s="20"/>
      <c r="I21" s="25" t="s">
        <v>30</v>
      </c>
      <c r="J21" s="20"/>
      <c r="K21" s="25" t="s">
        <v>30</v>
      </c>
      <c r="L21" s="20"/>
      <c r="M21" s="25" t="s">
        <v>30</v>
      </c>
      <c r="N21" s="20"/>
    </row>
    <row r="22" spans="1:14" ht="18" customHeight="1">
      <c r="A22" s="2">
        <f>M14+1</f>
        <v>45453</v>
      </c>
      <c r="B22" s="3"/>
      <c r="C22" s="2">
        <f>A22+1</f>
        <v>45454</v>
      </c>
      <c r="D22" s="3"/>
      <c r="E22" s="2">
        <f>C22+1</f>
        <v>45455</v>
      </c>
      <c r="F22" s="3"/>
      <c r="G22" s="2">
        <f>E22+1</f>
        <v>45456</v>
      </c>
      <c r="H22" s="3"/>
      <c r="I22" s="2">
        <f>G22+1</f>
        <v>45457</v>
      </c>
      <c r="J22" s="3"/>
      <c r="K22" s="4">
        <f>I22+1</f>
        <v>45458</v>
      </c>
      <c r="L22" s="5"/>
      <c r="M22" s="4">
        <f>K22+1</f>
        <v>45459</v>
      </c>
      <c r="N22" s="5"/>
    </row>
    <row r="23" spans="1:14" ht="14.1">
      <c r="A23" s="29" t="s">
        <v>24</v>
      </c>
      <c r="B23" s="20"/>
      <c r="C23" s="29" t="s">
        <v>24</v>
      </c>
      <c r="D23" s="20"/>
      <c r="E23" s="29" t="s">
        <v>24</v>
      </c>
      <c r="F23" s="20"/>
      <c r="G23" s="29" t="s">
        <v>24</v>
      </c>
      <c r="H23" s="20"/>
      <c r="I23" s="29" t="s">
        <v>24</v>
      </c>
      <c r="J23" s="20"/>
      <c r="K23" s="29" t="s">
        <v>24</v>
      </c>
      <c r="L23" s="20"/>
      <c r="M23" s="29" t="s">
        <v>24</v>
      </c>
      <c r="N23" s="20"/>
    </row>
    <row r="24" spans="1:14" ht="14.1">
      <c r="A24" s="27" t="s">
        <v>38</v>
      </c>
      <c r="B24" s="20"/>
      <c r="C24" s="26" t="s">
        <v>38</v>
      </c>
      <c r="D24" s="20"/>
      <c r="E24" s="27" t="s">
        <v>38</v>
      </c>
      <c r="F24" s="20"/>
      <c r="G24" s="26" t="s">
        <v>38</v>
      </c>
      <c r="H24" s="20"/>
      <c r="I24" s="26" t="s">
        <v>54</v>
      </c>
      <c r="J24" s="20"/>
      <c r="K24" s="26" t="s">
        <v>54</v>
      </c>
      <c r="L24" s="20"/>
      <c r="M24" s="26" t="s">
        <v>54</v>
      </c>
      <c r="N24" s="20"/>
    </row>
    <row r="25" spans="1:14" ht="14.1">
      <c r="A25" s="19" t="s">
        <v>11</v>
      </c>
      <c r="B25" s="20"/>
      <c r="C25" s="35" t="s">
        <v>11</v>
      </c>
      <c r="D25" s="20"/>
      <c r="E25" s="19" t="s">
        <v>11</v>
      </c>
      <c r="F25" s="20"/>
      <c r="G25" s="35" t="s">
        <v>11</v>
      </c>
      <c r="H25" s="20"/>
      <c r="I25" s="35" t="s">
        <v>83</v>
      </c>
      <c r="J25" s="20"/>
      <c r="K25" s="35" t="s">
        <v>76</v>
      </c>
      <c r="L25" s="20"/>
      <c r="M25" s="35" t="s">
        <v>76</v>
      </c>
      <c r="N25" s="20"/>
    </row>
    <row r="26" spans="1:14" ht="14.1">
      <c r="A26" s="21" t="s">
        <v>24</v>
      </c>
      <c r="B26" s="20"/>
      <c r="C26" s="21" t="s">
        <v>24</v>
      </c>
      <c r="D26" s="20"/>
      <c r="E26" s="21" t="s">
        <v>24</v>
      </c>
      <c r="F26" s="20"/>
      <c r="G26" s="21" t="s">
        <v>24</v>
      </c>
      <c r="H26" s="20"/>
      <c r="I26" s="21" t="s">
        <v>24</v>
      </c>
      <c r="J26" s="20"/>
      <c r="K26" s="21" t="s">
        <v>24</v>
      </c>
      <c r="L26" s="20"/>
      <c r="M26" s="21" t="s">
        <v>24</v>
      </c>
      <c r="N26" s="20"/>
    </row>
    <row r="27" spans="1:14" ht="14.1">
      <c r="A27" s="56" t="s">
        <v>16</v>
      </c>
      <c r="B27" s="20"/>
      <c r="C27" s="56" t="s">
        <v>16</v>
      </c>
      <c r="D27" s="20"/>
      <c r="E27" s="56" t="s">
        <v>16</v>
      </c>
      <c r="F27" s="20"/>
      <c r="G27" s="56" t="s">
        <v>16</v>
      </c>
      <c r="H27" s="20"/>
      <c r="I27" s="56" t="s">
        <v>16</v>
      </c>
      <c r="J27" s="20"/>
      <c r="K27" s="56" t="s">
        <v>16</v>
      </c>
      <c r="L27" s="20"/>
      <c r="M27" s="56" t="s">
        <v>16</v>
      </c>
      <c r="N27" s="20"/>
    </row>
    <row r="28" spans="1:14" ht="14.1">
      <c r="A28" s="23" t="s">
        <v>84</v>
      </c>
      <c r="B28" s="20"/>
      <c r="C28" s="22" t="s">
        <v>17</v>
      </c>
      <c r="D28" s="20"/>
      <c r="E28" s="23" t="s">
        <v>28</v>
      </c>
      <c r="F28" s="20"/>
      <c r="G28" s="22" t="s">
        <v>17</v>
      </c>
      <c r="H28" s="20"/>
      <c r="I28" s="22" t="s">
        <v>28</v>
      </c>
      <c r="J28" s="20"/>
      <c r="K28" s="22" t="s">
        <v>36</v>
      </c>
      <c r="L28" s="20"/>
      <c r="M28" s="22" t="s">
        <v>36</v>
      </c>
      <c r="N28" s="20"/>
    </row>
    <row r="29" spans="1:14" ht="18" customHeight="1">
      <c r="A29" s="25" t="s">
        <v>63</v>
      </c>
      <c r="B29" s="20"/>
      <c r="C29" s="25" t="s">
        <v>63</v>
      </c>
      <c r="D29" s="20"/>
      <c r="E29" s="25" t="s">
        <v>50</v>
      </c>
      <c r="F29" s="20"/>
      <c r="G29" s="25" t="s">
        <v>63</v>
      </c>
      <c r="H29" s="20"/>
      <c r="I29" s="25" t="s">
        <v>50</v>
      </c>
      <c r="J29" s="20"/>
      <c r="K29" s="25" t="s">
        <v>50</v>
      </c>
      <c r="L29" s="20"/>
      <c r="M29" s="25" t="s">
        <v>50</v>
      </c>
      <c r="N29" s="20"/>
    </row>
    <row r="30" spans="1:14" ht="18" customHeight="1">
      <c r="A30" s="4">
        <f>M22+1</f>
        <v>45460</v>
      </c>
      <c r="B30" s="5"/>
      <c r="C30" s="4">
        <f>A30+1</f>
        <v>45461</v>
      </c>
      <c r="D30" s="5"/>
      <c r="E30" s="4">
        <f>C30+1</f>
        <v>45462</v>
      </c>
      <c r="F30" s="5"/>
      <c r="G30" s="4">
        <f>E30+1</f>
        <v>45463</v>
      </c>
      <c r="H30" s="5"/>
      <c r="I30" s="4">
        <f>G30+1</f>
        <v>45464</v>
      </c>
      <c r="J30" s="5"/>
      <c r="K30" s="4">
        <f>I30+1</f>
        <v>45465</v>
      </c>
      <c r="L30" s="5"/>
      <c r="M30" s="4">
        <f>K30+1</f>
        <v>45466</v>
      </c>
      <c r="N30" s="5"/>
    </row>
    <row r="31" spans="1:14" ht="14.1">
      <c r="A31" s="29" t="s">
        <v>85</v>
      </c>
      <c r="B31" s="20"/>
      <c r="C31" s="29" t="s">
        <v>24</v>
      </c>
      <c r="D31" s="20"/>
      <c r="E31" s="29" t="s">
        <v>24</v>
      </c>
      <c r="F31" s="20"/>
      <c r="G31" s="29" t="s">
        <v>24</v>
      </c>
      <c r="H31" s="20"/>
      <c r="I31" s="44" t="s">
        <v>31</v>
      </c>
      <c r="J31" s="20"/>
      <c r="K31" s="44" t="s">
        <v>9</v>
      </c>
      <c r="L31" s="20"/>
      <c r="M31" s="44" t="s">
        <v>9</v>
      </c>
      <c r="N31" s="20"/>
    </row>
    <row r="32" spans="1:14" ht="14.1">
      <c r="A32" s="27" t="s">
        <v>54</v>
      </c>
      <c r="B32" s="20"/>
      <c r="C32" s="27" t="s">
        <v>54</v>
      </c>
      <c r="D32" s="20"/>
      <c r="E32" s="27" t="s">
        <v>54</v>
      </c>
      <c r="F32" s="20"/>
      <c r="G32" s="27" t="s">
        <v>54</v>
      </c>
      <c r="H32" s="20"/>
      <c r="I32" s="26" t="s">
        <v>42</v>
      </c>
      <c r="J32" s="20"/>
      <c r="K32" s="26" t="s">
        <v>42</v>
      </c>
      <c r="L32" s="20"/>
      <c r="M32" s="26" t="s">
        <v>42</v>
      </c>
      <c r="N32" s="20"/>
    </row>
    <row r="33" spans="1:14" ht="14.1">
      <c r="A33" s="19" t="s">
        <v>9</v>
      </c>
      <c r="B33" s="20"/>
      <c r="C33" s="19" t="s">
        <v>9</v>
      </c>
      <c r="D33" s="20"/>
      <c r="E33" s="19" t="s">
        <v>9</v>
      </c>
      <c r="F33" s="20"/>
      <c r="G33" s="19" t="s">
        <v>9</v>
      </c>
      <c r="H33" s="20"/>
      <c r="I33" s="35" t="s">
        <v>75</v>
      </c>
      <c r="J33" s="20"/>
      <c r="K33" s="35" t="s">
        <v>39</v>
      </c>
      <c r="L33" s="20"/>
      <c r="M33" s="35" t="s">
        <v>39</v>
      </c>
      <c r="N33" s="20"/>
    </row>
    <row r="34" spans="1:14" ht="14.1">
      <c r="A34" s="21" t="s">
        <v>15</v>
      </c>
      <c r="B34" s="20"/>
      <c r="C34" s="21" t="s">
        <v>24</v>
      </c>
      <c r="D34" s="20"/>
      <c r="E34" s="21" t="s">
        <v>24</v>
      </c>
      <c r="F34" s="20"/>
      <c r="G34" s="21" t="s">
        <v>24</v>
      </c>
      <c r="H34" s="20"/>
      <c r="I34" s="21" t="s">
        <v>24</v>
      </c>
      <c r="J34" s="20"/>
      <c r="K34" s="21" t="s">
        <v>24</v>
      </c>
      <c r="L34" s="20"/>
      <c r="M34" s="21" t="s">
        <v>24</v>
      </c>
      <c r="N34" s="20"/>
    </row>
    <row r="35" spans="1:14" ht="14.1">
      <c r="A35" s="56" t="s">
        <v>16</v>
      </c>
      <c r="B35" s="20"/>
      <c r="C35" s="56" t="s">
        <v>16</v>
      </c>
      <c r="D35" s="20"/>
      <c r="E35" s="56" t="s">
        <v>16</v>
      </c>
      <c r="F35" s="20"/>
      <c r="G35" s="56" t="s">
        <v>16</v>
      </c>
      <c r="H35" s="20"/>
      <c r="I35" s="56" t="s">
        <v>16</v>
      </c>
      <c r="J35" s="20"/>
      <c r="K35" s="56" t="s">
        <v>16</v>
      </c>
      <c r="L35" s="20"/>
      <c r="M35" s="56" t="s">
        <v>16</v>
      </c>
      <c r="N35" s="20"/>
    </row>
    <row r="36" spans="1:14" ht="14.1">
      <c r="A36" s="23" t="s">
        <v>27</v>
      </c>
      <c r="B36" s="20"/>
      <c r="C36" s="22" t="s">
        <v>27</v>
      </c>
      <c r="D36" s="20"/>
      <c r="E36" s="23" t="s">
        <v>27</v>
      </c>
      <c r="F36" s="20"/>
      <c r="G36" s="22" t="s">
        <v>27</v>
      </c>
      <c r="H36" s="20"/>
      <c r="I36" s="22" t="s">
        <v>26</v>
      </c>
      <c r="J36" s="20"/>
      <c r="K36" s="22" t="s">
        <v>26</v>
      </c>
      <c r="L36" s="20"/>
      <c r="M36" s="22" t="s">
        <v>19</v>
      </c>
      <c r="N36" s="20"/>
    </row>
    <row r="37" spans="1:14" ht="18" customHeight="1">
      <c r="A37" s="25" t="s">
        <v>50</v>
      </c>
      <c r="B37" s="20"/>
      <c r="C37" s="25" t="s">
        <v>50</v>
      </c>
      <c r="D37" s="20"/>
      <c r="E37" s="25" t="s">
        <v>50</v>
      </c>
      <c r="F37" s="20"/>
      <c r="G37" s="25" t="s">
        <v>50</v>
      </c>
      <c r="H37" s="20"/>
      <c r="I37" s="25" t="s">
        <v>63</v>
      </c>
      <c r="J37" s="20"/>
      <c r="K37" s="25" t="s">
        <v>74</v>
      </c>
      <c r="L37" s="20"/>
      <c r="M37" s="25" t="s">
        <v>50</v>
      </c>
      <c r="N37" s="20"/>
    </row>
    <row r="38" spans="1:14" ht="18" customHeight="1">
      <c r="A38" s="4">
        <f>IF(M30="","",IF(MONTH(M30+1)&lt;&gt;MONTH($A$1),"",M30+1))</f>
        <v>45467</v>
      </c>
      <c r="B38" s="5"/>
      <c r="C38" s="4">
        <f>IF(A38="","",IF(MONTH(A38+1)&lt;&gt;MONTH($A$1),"",A38+1))</f>
        <v>45468</v>
      </c>
      <c r="D38" s="5"/>
      <c r="E38" s="4">
        <f>IF(C38="","",IF(MONTH(C38+1)&lt;&gt;MONTH($A$1),"",C38+1))</f>
        <v>45469</v>
      </c>
      <c r="F38" s="5"/>
      <c r="G38" s="4">
        <f>IF(E38="","",IF(MONTH(E38+1)&lt;&gt;MONTH($A$1),"",E38+1))</f>
        <v>45470</v>
      </c>
      <c r="H38" s="5"/>
      <c r="I38" s="4">
        <f>IF(G38="","",IF(MONTH(G38+1)&lt;&gt;MONTH($A$1),"",G38+1))</f>
        <v>45471</v>
      </c>
      <c r="J38" s="5"/>
      <c r="K38" s="4">
        <f>IF(I38="","",IF(MONTH(I38+1)&lt;&gt;MONTH($A$1),"",I38+1))</f>
        <v>45472</v>
      </c>
      <c r="L38" s="5"/>
      <c r="M38" s="4">
        <f>IF(K38="","",IF(MONTH(K38+1)&lt;&gt;MONTH($A$1),"",K38+1))</f>
        <v>45473</v>
      </c>
      <c r="N38" s="5"/>
    </row>
    <row r="39" spans="1:14" ht="14.1">
      <c r="A39" s="29" t="s">
        <v>53</v>
      </c>
      <c r="B39" s="20"/>
      <c r="C39" s="44" t="s">
        <v>9</v>
      </c>
      <c r="D39" s="20"/>
      <c r="E39" s="29" t="s">
        <v>45</v>
      </c>
      <c r="F39" s="20"/>
      <c r="G39" s="44"/>
      <c r="H39" s="20"/>
      <c r="I39" s="44"/>
      <c r="J39" s="20"/>
      <c r="K39" s="44"/>
      <c r="L39" s="20"/>
      <c r="M39" s="44"/>
      <c r="N39" s="20"/>
    </row>
    <row r="40" spans="1:14" ht="14.1">
      <c r="A40" s="27" t="s">
        <v>42</v>
      </c>
      <c r="B40" s="20"/>
      <c r="C40" s="27" t="s">
        <v>42</v>
      </c>
      <c r="D40" s="20"/>
      <c r="E40" s="27" t="s">
        <v>42</v>
      </c>
      <c r="F40" s="20"/>
      <c r="G40" s="26"/>
      <c r="H40" s="20"/>
      <c r="I40" s="26"/>
      <c r="J40" s="20"/>
      <c r="K40" s="26"/>
      <c r="L40" s="20"/>
      <c r="M40" s="26"/>
      <c r="N40" s="20"/>
    </row>
    <row r="41" spans="1:14" ht="14.1">
      <c r="A41" s="19" t="s">
        <v>10</v>
      </c>
      <c r="B41" s="20"/>
      <c r="C41" s="35" t="s">
        <v>11</v>
      </c>
      <c r="D41" s="20"/>
      <c r="E41" s="19" t="s">
        <v>39</v>
      </c>
      <c r="F41" s="20"/>
      <c r="G41" s="35"/>
      <c r="H41" s="20"/>
      <c r="I41" s="35"/>
      <c r="J41" s="20"/>
      <c r="K41" s="35"/>
      <c r="L41" s="20"/>
      <c r="M41" s="35"/>
      <c r="N41" s="20"/>
    </row>
    <row r="42" spans="1:14" ht="14.1">
      <c r="A42" s="21" t="s">
        <v>15</v>
      </c>
      <c r="B42" s="20"/>
      <c r="C42" s="30" t="s">
        <v>15</v>
      </c>
      <c r="D42" s="20"/>
      <c r="E42" s="21" t="s">
        <v>15</v>
      </c>
      <c r="F42" s="20"/>
      <c r="G42" s="30"/>
      <c r="H42" s="20"/>
      <c r="I42" s="30"/>
      <c r="J42" s="20"/>
      <c r="K42" s="30"/>
      <c r="L42" s="20"/>
      <c r="M42" s="30"/>
      <c r="N42" s="20"/>
    </row>
    <row r="43" spans="1:14" ht="14.1">
      <c r="A43" s="56" t="s">
        <v>25</v>
      </c>
      <c r="B43" s="20"/>
      <c r="C43" s="56" t="s">
        <v>25</v>
      </c>
      <c r="D43" s="20"/>
      <c r="E43" s="56" t="s">
        <v>25</v>
      </c>
      <c r="F43" s="20"/>
      <c r="G43" s="57"/>
      <c r="H43" s="20"/>
      <c r="I43" s="57"/>
      <c r="J43" s="20"/>
      <c r="K43" s="57"/>
      <c r="L43" s="20"/>
      <c r="M43" s="57"/>
      <c r="N43" s="20"/>
    </row>
    <row r="44" spans="1:14" ht="14.1">
      <c r="A44" s="23" t="s">
        <v>71</v>
      </c>
      <c r="B44" s="20"/>
      <c r="C44" s="22" t="s">
        <v>26</v>
      </c>
      <c r="D44" s="20"/>
      <c r="E44" s="23" t="s">
        <v>28</v>
      </c>
      <c r="F44" s="20"/>
      <c r="G44" s="22"/>
      <c r="H44" s="20"/>
      <c r="I44" s="22"/>
      <c r="J44" s="20"/>
      <c r="K44" s="22"/>
      <c r="L44" s="20"/>
      <c r="M44" s="22"/>
      <c r="N44" s="20"/>
    </row>
    <row r="45" spans="1:14" ht="18" customHeight="1">
      <c r="A45" s="25" t="s">
        <v>29</v>
      </c>
      <c r="B45" s="20"/>
      <c r="C45" s="31" t="s">
        <v>29</v>
      </c>
      <c r="D45" s="24"/>
      <c r="E45" s="25" t="s">
        <v>30</v>
      </c>
      <c r="F45" s="20"/>
      <c r="G45" s="31"/>
      <c r="H45" s="24"/>
      <c r="I45" s="31"/>
      <c r="J45" s="24"/>
      <c r="K45" s="31"/>
      <c r="L45" s="24"/>
      <c r="M45" s="31"/>
      <c r="N45" s="24"/>
    </row>
    <row r="46" spans="1:14" ht="18" customHeight="1">
      <c r="A46" s="2" t="str">
        <f>IF(M38="","",IF(MONTH(M38+1)&lt;&gt;MONTH($A$1),"",M38+1))</f>
        <v/>
      </c>
      <c r="B46" s="3"/>
      <c r="C46" s="2" t="str">
        <f>IF(A46="","",IF(MONTH(A46+1)&lt;&gt;MONTH($A$1),"",A46+1))</f>
        <v/>
      </c>
      <c r="D46" s="3"/>
      <c r="E46" s="46" t="s">
        <v>22</v>
      </c>
      <c r="F46" s="47"/>
      <c r="G46" s="48"/>
      <c r="H46" s="47"/>
      <c r="I46" s="47"/>
      <c r="J46" s="47"/>
      <c r="K46" s="47"/>
      <c r="L46" s="47"/>
      <c r="M46" s="47"/>
      <c r="N46" s="49"/>
    </row>
    <row r="47" spans="1:14" ht="14.1">
      <c r="A47" s="29"/>
      <c r="B47" s="20"/>
      <c r="C47" s="44"/>
      <c r="D47" s="20"/>
      <c r="E47" s="45" t="s">
        <v>86</v>
      </c>
      <c r="F47" s="37"/>
      <c r="G47" s="37"/>
      <c r="H47" s="37"/>
      <c r="I47" s="37"/>
      <c r="J47" s="37"/>
      <c r="K47" s="37"/>
      <c r="L47" s="37"/>
      <c r="M47" s="37"/>
      <c r="N47" s="20"/>
    </row>
    <row r="48" spans="1:14" ht="14.1">
      <c r="A48" s="27"/>
      <c r="B48" s="20"/>
      <c r="C48" s="26"/>
      <c r="D48" s="20"/>
      <c r="E48" s="45" t="s">
        <v>87</v>
      </c>
      <c r="F48" s="37"/>
      <c r="G48" s="37"/>
      <c r="H48" s="37"/>
      <c r="I48" s="37"/>
      <c r="J48" s="37"/>
      <c r="K48" s="37"/>
      <c r="L48" s="37"/>
      <c r="M48" s="37"/>
      <c r="N48" s="20"/>
    </row>
    <row r="49" spans="1:14" ht="14.1">
      <c r="A49" s="19"/>
      <c r="B49" s="20"/>
      <c r="C49" s="35"/>
      <c r="D49" s="20"/>
      <c r="E49" s="45"/>
      <c r="F49" s="37"/>
      <c r="G49" s="37"/>
      <c r="H49" s="37"/>
      <c r="I49" s="37"/>
      <c r="J49" s="37"/>
      <c r="K49" s="37"/>
      <c r="L49" s="37"/>
      <c r="M49" s="37"/>
      <c r="N49" s="20"/>
    </row>
    <row r="50" spans="1:14" ht="14.1">
      <c r="A50" s="21"/>
      <c r="B50" s="20"/>
      <c r="C50" s="30"/>
      <c r="D50" s="20"/>
      <c r="E50" s="6"/>
      <c r="F50" s="7"/>
      <c r="G50" s="7"/>
      <c r="H50" s="7"/>
      <c r="I50" s="7"/>
      <c r="J50" s="7"/>
      <c r="K50" s="7"/>
      <c r="L50" s="7"/>
      <c r="M50" s="7"/>
      <c r="N50" s="8"/>
    </row>
    <row r="51" spans="1:14" ht="14.1">
      <c r="A51" s="56"/>
      <c r="B51" s="20"/>
      <c r="C51" s="57"/>
      <c r="D51" s="20"/>
      <c r="E51" s="6"/>
      <c r="F51" s="7"/>
      <c r="G51" s="7"/>
      <c r="H51" s="7"/>
      <c r="I51" s="7"/>
      <c r="J51" s="7"/>
      <c r="K51" s="7"/>
      <c r="L51" s="7"/>
      <c r="M51" s="7"/>
      <c r="N51" s="8"/>
    </row>
    <row r="52" spans="1:14" ht="14.1">
      <c r="A52" s="23"/>
      <c r="B52" s="20"/>
      <c r="C52" s="22"/>
      <c r="D52" s="20"/>
      <c r="E52" s="6"/>
      <c r="F52" s="7"/>
      <c r="G52" s="7"/>
      <c r="H52" s="7"/>
      <c r="I52" s="7"/>
      <c r="J52" s="7"/>
      <c r="K52" s="7"/>
      <c r="L52" s="7"/>
      <c r="M52" s="7"/>
      <c r="N52" s="8"/>
    </row>
    <row r="53" spans="1:14" ht="14.1">
      <c r="A53" s="25"/>
      <c r="B53" s="20"/>
      <c r="C53" s="31"/>
      <c r="D53" s="24"/>
      <c r="E53" s="32" t="s">
        <v>23</v>
      </c>
      <c r="F53" s="33"/>
      <c r="G53" s="33"/>
      <c r="H53" s="33"/>
      <c r="I53" s="34" t="str">
        <f>HYPERLINK("https://www.vertex42.com/calendars/academic-calendar.html","https://www.vertex42.com/calendars/academic-calendar.html")</f>
        <v>https://www.vertex42.com/calendars/academic-calendar.html</v>
      </c>
      <c r="J53" s="33"/>
      <c r="K53" s="33"/>
      <c r="L53" s="33"/>
      <c r="M53" s="33"/>
      <c r="N53" s="24"/>
    </row>
  </sheetData>
  <mergeCells count="283">
    <mergeCell ref="C42:D42"/>
    <mergeCell ref="E42:F42"/>
    <mergeCell ref="G42:H42"/>
    <mergeCell ref="I42:J42"/>
    <mergeCell ref="K42:L42"/>
    <mergeCell ref="M42:N42"/>
    <mergeCell ref="A42:B42"/>
    <mergeCell ref="C43:D43"/>
    <mergeCell ref="E43:F43"/>
    <mergeCell ref="G43:H43"/>
    <mergeCell ref="I43:J43"/>
    <mergeCell ref="K43:L43"/>
    <mergeCell ref="M43:N43"/>
    <mergeCell ref="A43:B43"/>
    <mergeCell ref="C40:D40"/>
    <mergeCell ref="E40:F40"/>
    <mergeCell ref="G40:H40"/>
    <mergeCell ref="I40:J40"/>
    <mergeCell ref="K40:L40"/>
    <mergeCell ref="M40:N40"/>
    <mergeCell ref="A40:B40"/>
    <mergeCell ref="C41:D41"/>
    <mergeCell ref="E41:F41"/>
    <mergeCell ref="G41:H41"/>
    <mergeCell ref="I41:J41"/>
    <mergeCell ref="K41:L41"/>
    <mergeCell ref="M41:N41"/>
    <mergeCell ref="A41:B41"/>
    <mergeCell ref="C35:D35"/>
    <mergeCell ref="E35:F35"/>
    <mergeCell ref="G35:H35"/>
    <mergeCell ref="I35:J35"/>
    <mergeCell ref="K35:L35"/>
    <mergeCell ref="M35:N35"/>
    <mergeCell ref="A35:B35"/>
    <mergeCell ref="C36:D36"/>
    <mergeCell ref="E36:F36"/>
    <mergeCell ref="G36:H36"/>
    <mergeCell ref="I36:J36"/>
    <mergeCell ref="K36:L36"/>
    <mergeCell ref="M36:N36"/>
    <mergeCell ref="A36:B36"/>
    <mergeCell ref="C33:D33"/>
    <mergeCell ref="E33:F33"/>
    <mergeCell ref="G33:H33"/>
    <mergeCell ref="I33:J33"/>
    <mergeCell ref="K33:L33"/>
    <mergeCell ref="M33:N33"/>
    <mergeCell ref="A33:B33"/>
    <mergeCell ref="C34:D34"/>
    <mergeCell ref="E34:F34"/>
    <mergeCell ref="G34:H34"/>
    <mergeCell ref="I34:J34"/>
    <mergeCell ref="K34:L34"/>
    <mergeCell ref="M34:N34"/>
    <mergeCell ref="A34:B34"/>
    <mergeCell ref="C31:D31"/>
    <mergeCell ref="E31:F31"/>
    <mergeCell ref="G31:H31"/>
    <mergeCell ref="I31:J31"/>
    <mergeCell ref="K31:L31"/>
    <mergeCell ref="M31:N31"/>
    <mergeCell ref="A31:B31"/>
    <mergeCell ref="C32:D32"/>
    <mergeCell ref="E32:F32"/>
    <mergeCell ref="G32:H32"/>
    <mergeCell ref="I32:J32"/>
    <mergeCell ref="K32:L32"/>
    <mergeCell ref="M32:N32"/>
    <mergeCell ref="A32:B32"/>
    <mergeCell ref="C28:D28"/>
    <mergeCell ref="E28:F28"/>
    <mergeCell ref="G28:H28"/>
    <mergeCell ref="I28:J28"/>
    <mergeCell ref="K28:L28"/>
    <mergeCell ref="M28:N28"/>
    <mergeCell ref="A28:B28"/>
    <mergeCell ref="C29:D29"/>
    <mergeCell ref="E29:F29"/>
    <mergeCell ref="G29:H29"/>
    <mergeCell ref="I29:J29"/>
    <mergeCell ref="K29:L29"/>
    <mergeCell ref="M29:N29"/>
    <mergeCell ref="A29:B29"/>
    <mergeCell ref="C21:D21"/>
    <mergeCell ref="E21:F21"/>
    <mergeCell ref="G21:H21"/>
    <mergeCell ref="I21:J21"/>
    <mergeCell ref="K21:L21"/>
    <mergeCell ref="M21:N21"/>
    <mergeCell ref="A21:B21"/>
    <mergeCell ref="C23:D23"/>
    <mergeCell ref="E23:F23"/>
    <mergeCell ref="G23:H23"/>
    <mergeCell ref="I23:J23"/>
    <mergeCell ref="K23:L23"/>
    <mergeCell ref="M23:N23"/>
    <mergeCell ref="A23:B23"/>
    <mergeCell ref="A52:B52"/>
    <mergeCell ref="C52:D52"/>
    <mergeCell ref="A53:B53"/>
    <mergeCell ref="C53:D53"/>
    <mergeCell ref="E53:H53"/>
    <mergeCell ref="I53:N53"/>
    <mergeCell ref="A49:B49"/>
    <mergeCell ref="C49:D49"/>
    <mergeCell ref="E49:N49"/>
    <mergeCell ref="A50:B50"/>
    <mergeCell ref="C50:D50"/>
    <mergeCell ref="A51:B51"/>
    <mergeCell ref="C51:D51"/>
    <mergeCell ref="C8:D8"/>
    <mergeCell ref="E8:F8"/>
    <mergeCell ref="G8:H8"/>
    <mergeCell ref="I8:J8"/>
    <mergeCell ref="K8:L8"/>
    <mergeCell ref="M8:N8"/>
    <mergeCell ref="A8:B8"/>
    <mergeCell ref="C9:D9"/>
    <mergeCell ref="E9:F9"/>
    <mergeCell ref="G9:H9"/>
    <mergeCell ref="I9:J9"/>
    <mergeCell ref="K9:L9"/>
    <mergeCell ref="M9:N9"/>
    <mergeCell ref="A9:B9"/>
    <mergeCell ref="C5:D5"/>
    <mergeCell ref="E5:F5"/>
    <mergeCell ref="G5:H5"/>
    <mergeCell ref="I5:J5"/>
    <mergeCell ref="K5:L5"/>
    <mergeCell ref="M5:N5"/>
    <mergeCell ref="A5:B5"/>
    <mergeCell ref="C7:D7"/>
    <mergeCell ref="E7:F7"/>
    <mergeCell ref="G7:H7"/>
    <mergeCell ref="I7:J7"/>
    <mergeCell ref="K7:L7"/>
    <mergeCell ref="M7:N7"/>
    <mergeCell ref="A7:B7"/>
    <mergeCell ref="K3:L3"/>
    <mergeCell ref="M3:N3"/>
    <mergeCell ref="A1:N1"/>
    <mergeCell ref="A2:N2"/>
    <mergeCell ref="C3:D3"/>
    <mergeCell ref="E3:F3"/>
    <mergeCell ref="G3:H3"/>
    <mergeCell ref="I3:J3"/>
    <mergeCell ref="A4:N4"/>
    <mergeCell ref="A3:B3"/>
    <mergeCell ref="C48:D48"/>
    <mergeCell ref="E48:N48"/>
    <mergeCell ref="E45:F45"/>
    <mergeCell ref="E46:F46"/>
    <mergeCell ref="G46:N46"/>
    <mergeCell ref="A47:B47"/>
    <mergeCell ref="C47:D47"/>
    <mergeCell ref="E47:N47"/>
    <mergeCell ref="A48:B48"/>
    <mergeCell ref="C44:D44"/>
    <mergeCell ref="E44:F44"/>
    <mergeCell ref="G44:H44"/>
    <mergeCell ref="I44:J44"/>
    <mergeCell ref="K44:L44"/>
    <mergeCell ref="M44:N44"/>
    <mergeCell ref="A44:B44"/>
    <mergeCell ref="A45:B45"/>
    <mergeCell ref="C45:D45"/>
    <mergeCell ref="G45:H45"/>
    <mergeCell ref="I45:J45"/>
    <mergeCell ref="K45:L45"/>
    <mergeCell ref="M45:N45"/>
    <mergeCell ref="C37:D37"/>
    <mergeCell ref="E37:F37"/>
    <mergeCell ref="G37:H37"/>
    <mergeCell ref="I37:J37"/>
    <mergeCell ref="K37:L37"/>
    <mergeCell ref="M37:N37"/>
    <mergeCell ref="A37:B37"/>
    <mergeCell ref="C39:D39"/>
    <mergeCell ref="E39:F39"/>
    <mergeCell ref="G39:H39"/>
    <mergeCell ref="I39:J39"/>
    <mergeCell ref="K39:L39"/>
    <mergeCell ref="M39:N39"/>
    <mergeCell ref="A39:B39"/>
    <mergeCell ref="C26:D26"/>
    <mergeCell ref="E26:F26"/>
    <mergeCell ref="G26:H26"/>
    <mergeCell ref="I26:J26"/>
    <mergeCell ref="K26:L26"/>
    <mergeCell ref="M26:N26"/>
    <mergeCell ref="A26:B26"/>
    <mergeCell ref="C27:D27"/>
    <mergeCell ref="E27:F27"/>
    <mergeCell ref="G27:H27"/>
    <mergeCell ref="I27:J27"/>
    <mergeCell ref="K27:L27"/>
    <mergeCell ref="M27:N27"/>
    <mergeCell ref="A27:B27"/>
    <mergeCell ref="C24:D24"/>
    <mergeCell ref="E24:F24"/>
    <mergeCell ref="G24:H24"/>
    <mergeCell ref="I24:J24"/>
    <mergeCell ref="K24:L24"/>
    <mergeCell ref="M24:N24"/>
    <mergeCell ref="A24:B24"/>
    <mergeCell ref="C25:D25"/>
    <mergeCell ref="E25:F25"/>
    <mergeCell ref="G25:H25"/>
    <mergeCell ref="I25:J25"/>
    <mergeCell ref="K25:L25"/>
    <mergeCell ref="M25:N25"/>
    <mergeCell ref="A25:B25"/>
    <mergeCell ref="C19:D19"/>
    <mergeCell ref="E19:F19"/>
    <mergeCell ref="G19:H19"/>
    <mergeCell ref="I19:J19"/>
    <mergeCell ref="K19:L19"/>
    <mergeCell ref="M19:N19"/>
    <mergeCell ref="A19:B19"/>
    <mergeCell ref="C20:D20"/>
    <mergeCell ref="E20:F20"/>
    <mergeCell ref="G20:H20"/>
    <mergeCell ref="I20:J20"/>
    <mergeCell ref="K20:L20"/>
    <mergeCell ref="M20:N20"/>
    <mergeCell ref="A20:B20"/>
    <mergeCell ref="C17:D17"/>
    <mergeCell ref="E17:F17"/>
    <mergeCell ref="G17:H17"/>
    <mergeCell ref="I17:J17"/>
    <mergeCell ref="K17:L17"/>
    <mergeCell ref="M17:N17"/>
    <mergeCell ref="A17:B17"/>
    <mergeCell ref="C18:D18"/>
    <mergeCell ref="E18:F18"/>
    <mergeCell ref="G18:H18"/>
    <mergeCell ref="I18:J18"/>
    <mergeCell ref="K18:L18"/>
    <mergeCell ref="M18:N18"/>
    <mergeCell ref="A18:B18"/>
    <mergeCell ref="C15:D15"/>
    <mergeCell ref="E15:F15"/>
    <mergeCell ref="G15:H15"/>
    <mergeCell ref="I15:J15"/>
    <mergeCell ref="K15:L15"/>
    <mergeCell ref="M15:N15"/>
    <mergeCell ref="A15:B15"/>
    <mergeCell ref="C16:D16"/>
    <mergeCell ref="E16:F16"/>
    <mergeCell ref="G16:H16"/>
    <mergeCell ref="I16:J16"/>
    <mergeCell ref="K16:L16"/>
    <mergeCell ref="M16:N16"/>
    <mergeCell ref="A16:B16"/>
    <mergeCell ref="C12:D12"/>
    <mergeCell ref="E12:F12"/>
    <mergeCell ref="G12:H12"/>
    <mergeCell ref="I12:J12"/>
    <mergeCell ref="K12:L12"/>
    <mergeCell ref="M12:N12"/>
    <mergeCell ref="A12:B12"/>
    <mergeCell ref="C13:D13"/>
    <mergeCell ref="E13:F13"/>
    <mergeCell ref="G13:H13"/>
    <mergeCell ref="I13:J13"/>
    <mergeCell ref="K13:L13"/>
    <mergeCell ref="M13:N13"/>
    <mergeCell ref="A13:B13"/>
    <mergeCell ref="C10:D10"/>
    <mergeCell ref="E10:F10"/>
    <mergeCell ref="G10:H10"/>
    <mergeCell ref="I10:J10"/>
    <mergeCell ref="K10:L10"/>
    <mergeCell ref="M10:N10"/>
    <mergeCell ref="A10:B10"/>
    <mergeCell ref="C11:D11"/>
    <mergeCell ref="E11:F11"/>
    <mergeCell ref="G11:H11"/>
    <mergeCell ref="I11:J11"/>
    <mergeCell ref="K11:L11"/>
    <mergeCell ref="M11:N11"/>
    <mergeCell ref="A11:B11"/>
  </mergeCells>
  <printOptions horizontalCentered="1" gridLines="1"/>
  <pageMargins left="0.25" right="0.25" top="0.5" bottom="0.5" header="0" footer="0"/>
  <pageSetup pageOrder="overThenDown" orientation="landscape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N53"/>
  <sheetViews>
    <sheetView showGridLines="0" topLeftCell="A2" workbookViewId="0"/>
  </sheetViews>
  <sheetFormatPr defaultColWidth="12.5703125" defaultRowHeight="12.75" customHeight="1"/>
  <cols>
    <col min="1" max="1" width="3.85546875" customWidth="1"/>
    <col min="2" max="2" width="13.42578125" customWidth="1"/>
    <col min="3" max="3" width="3.85546875" customWidth="1"/>
    <col min="4" max="4" width="13.42578125" customWidth="1"/>
    <col min="5" max="5" width="3.85546875" customWidth="1"/>
    <col min="6" max="6" width="13.42578125" customWidth="1"/>
    <col min="7" max="7" width="3.85546875" customWidth="1"/>
    <col min="8" max="8" width="13.42578125" customWidth="1"/>
    <col min="9" max="9" width="3.85546875" customWidth="1"/>
    <col min="10" max="10" width="13.42578125" customWidth="1"/>
    <col min="11" max="11" width="3.85546875" customWidth="1"/>
    <col min="12" max="12" width="13.42578125" customWidth="1"/>
    <col min="13" max="13" width="3.85546875" customWidth="1"/>
    <col min="14" max="14" width="13.42578125" customWidth="1"/>
  </cols>
  <sheetData>
    <row r="1" spans="1:14" ht="18" hidden="1" customHeight="1">
      <c r="A1" s="52">
        <f>EDATE('©'!A17,12)</f>
        <v>45474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4" ht="18" customHeight="1">
      <c r="A2" s="39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1:14" ht="18" customHeight="1">
      <c r="A3" s="29" t="s">
        <v>2</v>
      </c>
      <c r="B3" s="37"/>
      <c r="C3" s="27" t="s">
        <v>3</v>
      </c>
      <c r="D3" s="37"/>
      <c r="E3" s="19" t="s">
        <v>4</v>
      </c>
      <c r="F3" s="37"/>
      <c r="G3" s="21" t="s">
        <v>5</v>
      </c>
      <c r="H3" s="37"/>
      <c r="I3" s="56" t="s">
        <v>6</v>
      </c>
      <c r="J3" s="37"/>
      <c r="K3" s="23" t="s">
        <v>7</v>
      </c>
      <c r="L3" s="37"/>
      <c r="M3" s="25" t="s">
        <v>8</v>
      </c>
      <c r="N3" s="37"/>
    </row>
    <row r="4" spans="1:14" ht="60.75" customHeight="1">
      <c r="A4" s="42" t="str">
        <f>UPPER(TEXT(A1,"mmmm yyyy"))</f>
        <v>JULY 2024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</row>
    <row r="5" spans="1:14" ht="15" customHeight="1">
      <c r="A5" s="40">
        <f>A14</f>
        <v>45481</v>
      </c>
      <c r="B5" s="41"/>
      <c r="C5" s="40">
        <f>C14</f>
        <v>45482</v>
      </c>
      <c r="D5" s="41"/>
      <c r="E5" s="40">
        <f>E14</f>
        <v>45483</v>
      </c>
      <c r="F5" s="41"/>
      <c r="G5" s="40">
        <f>G14</f>
        <v>45484</v>
      </c>
      <c r="H5" s="41"/>
      <c r="I5" s="40">
        <f>I14</f>
        <v>45485</v>
      </c>
      <c r="J5" s="41"/>
      <c r="K5" s="40">
        <f>K14</f>
        <v>45486</v>
      </c>
      <c r="L5" s="41"/>
      <c r="M5" s="40">
        <f>M14</f>
        <v>45487</v>
      </c>
      <c r="N5" s="41"/>
    </row>
    <row r="6" spans="1:14" ht="18" customHeight="1">
      <c r="A6" s="2">
        <f>IF(WEEKDAY($A$1,1)=startday,$A$1,"")</f>
        <v>45474</v>
      </c>
      <c r="B6" s="3"/>
      <c r="C6" s="2">
        <f>IF(A6="",IF(WEEKDAY($A$1,1)=MOD(startday,7)+1,$A$1,""),A6+1)</f>
        <v>45475</v>
      </c>
      <c r="D6" s="3"/>
      <c r="E6" s="2">
        <f>IF(C6="",IF(WEEKDAY($A$1,1)=MOD(startday,7)+2,$A$1,""),C6+1)</f>
        <v>45476</v>
      </c>
      <c r="F6" s="3"/>
      <c r="G6" s="2">
        <f>IF(E6="",IF(WEEKDAY($A$1,1)=MOD(startday,7)+3,$A$1,""),E6+1)</f>
        <v>45477</v>
      </c>
      <c r="H6" s="3"/>
      <c r="I6" s="2">
        <f>IF(G6="",IF(WEEKDAY($A$1,1)=MOD(startday,7)+4,$A$1,""),G6+1)</f>
        <v>45478</v>
      </c>
      <c r="J6" s="3"/>
      <c r="K6" s="4">
        <f>IF(I6="",IF(WEEKDAY($A$1,1)=MOD(startday,7)+5,$A$1,""),I6+1)</f>
        <v>45479</v>
      </c>
      <c r="L6" s="5"/>
      <c r="M6" s="4">
        <f>IF(K6="",IF(WEEKDAY($A$1,1)=MOD(startday+5,7)+1,$A$1,""),K6+1)</f>
        <v>45480</v>
      </c>
      <c r="N6" s="5"/>
    </row>
    <row r="7" spans="1:14" ht="14.1">
      <c r="A7" s="29"/>
      <c r="B7" s="20"/>
      <c r="C7" s="44"/>
      <c r="D7" s="20"/>
      <c r="E7" s="29"/>
      <c r="F7" s="20"/>
      <c r="G7" s="44" t="s">
        <v>9</v>
      </c>
      <c r="H7" s="20"/>
      <c r="I7" s="44" t="s">
        <v>50</v>
      </c>
      <c r="J7" s="20"/>
      <c r="K7" s="44" t="s">
        <v>50</v>
      </c>
      <c r="L7" s="20"/>
      <c r="M7" s="44" t="s">
        <v>50</v>
      </c>
      <c r="N7" s="20"/>
    </row>
    <row r="8" spans="1:14" ht="14.1">
      <c r="A8" s="27"/>
      <c r="B8" s="20"/>
      <c r="C8" s="26"/>
      <c r="D8" s="20"/>
      <c r="E8" s="26"/>
      <c r="F8" s="20"/>
      <c r="G8" s="26" t="s">
        <v>42</v>
      </c>
      <c r="H8" s="20"/>
      <c r="I8" s="26" t="s">
        <v>16</v>
      </c>
      <c r="J8" s="20"/>
      <c r="K8" s="26" t="s">
        <v>16</v>
      </c>
      <c r="L8" s="20"/>
      <c r="M8" s="26" t="s">
        <v>16</v>
      </c>
      <c r="N8" s="20"/>
    </row>
    <row r="9" spans="1:14" ht="14.1">
      <c r="A9" s="19"/>
      <c r="B9" s="20"/>
      <c r="C9" s="35"/>
      <c r="D9" s="20"/>
      <c r="E9" s="19"/>
      <c r="F9" s="20"/>
      <c r="G9" s="35" t="s">
        <v>39</v>
      </c>
      <c r="H9" s="20"/>
      <c r="I9" s="35" t="s">
        <v>13</v>
      </c>
      <c r="J9" s="20"/>
      <c r="K9" s="35" t="s">
        <v>88</v>
      </c>
      <c r="L9" s="20"/>
      <c r="M9" s="35" t="s">
        <v>88</v>
      </c>
      <c r="N9" s="20"/>
    </row>
    <row r="10" spans="1:14" ht="14.1">
      <c r="A10" s="21"/>
      <c r="B10" s="20"/>
      <c r="C10" s="30"/>
      <c r="D10" s="20"/>
      <c r="E10" s="30"/>
      <c r="F10" s="20"/>
      <c r="G10" s="30" t="s">
        <v>15</v>
      </c>
      <c r="H10" s="20"/>
      <c r="I10" s="30" t="s">
        <v>15</v>
      </c>
      <c r="J10" s="20"/>
      <c r="K10" s="30" t="s">
        <v>15</v>
      </c>
      <c r="L10" s="20"/>
      <c r="M10" s="30" t="s">
        <v>15</v>
      </c>
      <c r="N10" s="20"/>
    </row>
    <row r="11" spans="1:14" ht="14.1">
      <c r="A11" s="56"/>
      <c r="B11" s="20"/>
      <c r="C11" s="57"/>
      <c r="D11" s="20"/>
      <c r="E11" s="57"/>
      <c r="F11" s="20"/>
      <c r="G11" s="57" t="s">
        <v>25</v>
      </c>
      <c r="H11" s="20"/>
      <c r="I11" s="57" t="s">
        <v>25</v>
      </c>
      <c r="J11" s="20"/>
      <c r="K11" s="57" t="s">
        <v>25</v>
      </c>
      <c r="L11" s="20"/>
      <c r="M11" s="57" t="s">
        <v>25</v>
      </c>
      <c r="N11" s="20"/>
    </row>
    <row r="12" spans="1:14" ht="14.1">
      <c r="A12" s="23"/>
      <c r="B12" s="20"/>
      <c r="C12" s="22"/>
      <c r="D12" s="20"/>
      <c r="E12" s="23"/>
      <c r="F12" s="20"/>
      <c r="G12" s="22" t="s">
        <v>17</v>
      </c>
      <c r="H12" s="20"/>
      <c r="I12" s="22" t="s">
        <v>28</v>
      </c>
      <c r="J12" s="20"/>
      <c r="K12" s="22" t="s">
        <v>36</v>
      </c>
      <c r="L12" s="20"/>
      <c r="M12" s="22" t="s">
        <v>36</v>
      </c>
      <c r="N12" s="20"/>
    </row>
    <row r="13" spans="1:14" ht="18" customHeight="1">
      <c r="A13" s="25"/>
      <c r="B13" s="20"/>
      <c r="C13" s="31"/>
      <c r="D13" s="24"/>
      <c r="E13" s="31"/>
      <c r="F13" s="24"/>
      <c r="G13" s="31" t="s">
        <v>29</v>
      </c>
      <c r="H13" s="24"/>
      <c r="I13" s="31" t="s">
        <v>30</v>
      </c>
      <c r="J13" s="24"/>
      <c r="K13" s="31" t="s">
        <v>30</v>
      </c>
      <c r="L13" s="24"/>
      <c r="M13" s="31" t="s">
        <v>30</v>
      </c>
      <c r="N13" s="24"/>
    </row>
    <row r="14" spans="1:14" ht="18" customHeight="1">
      <c r="A14" s="2">
        <f>M6+1</f>
        <v>45481</v>
      </c>
      <c r="B14" s="3"/>
      <c r="C14" s="2">
        <f>A14+1</f>
        <v>45482</v>
      </c>
      <c r="D14" s="3"/>
      <c r="E14" s="2">
        <f>C14+1</f>
        <v>45483</v>
      </c>
      <c r="F14" s="3"/>
      <c r="G14" s="2">
        <f>E14+1</f>
        <v>45484</v>
      </c>
      <c r="H14" s="3"/>
      <c r="I14" s="2">
        <f>G14+1</f>
        <v>45485</v>
      </c>
      <c r="J14" s="3"/>
      <c r="K14" s="4">
        <f>I14+1</f>
        <v>45486</v>
      </c>
      <c r="L14" s="5"/>
      <c r="M14" s="4">
        <f>K14+1</f>
        <v>45487</v>
      </c>
      <c r="N14" s="5"/>
    </row>
    <row r="15" spans="1:14" ht="14.1">
      <c r="A15" s="29" t="s">
        <v>49</v>
      </c>
      <c r="B15" s="20"/>
      <c r="C15" s="29" t="s">
        <v>50</v>
      </c>
      <c r="D15" s="20"/>
      <c r="E15" s="29" t="s">
        <v>50</v>
      </c>
      <c r="F15" s="20"/>
      <c r="G15" s="29" t="s">
        <v>50</v>
      </c>
      <c r="H15" s="20"/>
      <c r="I15" s="44" t="s">
        <v>39</v>
      </c>
      <c r="J15" s="20"/>
      <c r="K15" s="44" t="s">
        <v>11</v>
      </c>
      <c r="L15" s="20"/>
      <c r="M15" s="44" t="s">
        <v>11</v>
      </c>
      <c r="N15" s="20"/>
    </row>
    <row r="16" spans="1:14" ht="14.1">
      <c r="A16" s="27" t="s">
        <v>16</v>
      </c>
      <c r="B16" s="20"/>
      <c r="C16" s="27" t="s">
        <v>16</v>
      </c>
      <c r="D16" s="20"/>
      <c r="E16" s="27" t="s">
        <v>16</v>
      </c>
      <c r="F16" s="20"/>
      <c r="G16" s="27" t="s">
        <v>16</v>
      </c>
      <c r="H16" s="20"/>
      <c r="I16" s="26" t="s">
        <v>25</v>
      </c>
      <c r="J16" s="20"/>
      <c r="K16" s="26" t="s">
        <v>25</v>
      </c>
      <c r="L16" s="20"/>
      <c r="M16" s="26" t="s">
        <v>25</v>
      </c>
      <c r="N16" s="20"/>
    </row>
    <row r="17" spans="1:14" ht="14.1">
      <c r="A17" s="19" t="s">
        <v>13</v>
      </c>
      <c r="B17" s="20"/>
      <c r="C17" s="19" t="s">
        <v>13</v>
      </c>
      <c r="D17" s="20"/>
      <c r="E17" s="19" t="s">
        <v>13</v>
      </c>
      <c r="F17" s="20"/>
      <c r="G17" s="19" t="s">
        <v>13</v>
      </c>
      <c r="H17" s="20"/>
      <c r="I17" s="19" t="s">
        <v>9</v>
      </c>
      <c r="J17" s="20"/>
      <c r="K17" s="19" t="s">
        <v>31</v>
      </c>
      <c r="L17" s="20"/>
      <c r="M17" s="19" t="s">
        <v>31</v>
      </c>
      <c r="N17" s="20"/>
    </row>
    <row r="18" spans="1:14" ht="14.1">
      <c r="A18" s="21" t="s">
        <v>15</v>
      </c>
      <c r="B18" s="20"/>
      <c r="C18" s="21" t="s">
        <v>15</v>
      </c>
      <c r="D18" s="20"/>
      <c r="E18" s="21" t="s">
        <v>15</v>
      </c>
      <c r="F18" s="20"/>
      <c r="G18" s="21" t="s">
        <v>15</v>
      </c>
      <c r="H18" s="20"/>
      <c r="I18" s="21" t="s">
        <v>89</v>
      </c>
      <c r="J18" s="20"/>
      <c r="K18" s="21" t="s">
        <v>89</v>
      </c>
      <c r="L18" s="20"/>
      <c r="M18" s="21" t="s">
        <v>89</v>
      </c>
      <c r="N18" s="20"/>
    </row>
    <row r="19" spans="1:14" ht="14.1">
      <c r="A19" s="56" t="s">
        <v>25</v>
      </c>
      <c r="B19" s="20"/>
      <c r="C19" s="56" t="s">
        <v>25</v>
      </c>
      <c r="D19" s="20"/>
      <c r="E19" s="56" t="s">
        <v>25</v>
      </c>
      <c r="F19" s="20"/>
      <c r="G19" s="56" t="s">
        <v>25</v>
      </c>
      <c r="H19" s="20"/>
      <c r="I19" s="56" t="s">
        <v>13</v>
      </c>
      <c r="J19" s="20"/>
      <c r="K19" s="56" t="s">
        <v>13</v>
      </c>
      <c r="L19" s="20"/>
      <c r="M19" s="56" t="s">
        <v>13</v>
      </c>
      <c r="N19" s="20"/>
    </row>
    <row r="20" spans="1:14" ht="14.1">
      <c r="A20" s="23" t="s">
        <v>26</v>
      </c>
      <c r="B20" s="20"/>
      <c r="C20" s="22" t="s">
        <v>26</v>
      </c>
      <c r="D20" s="20"/>
      <c r="E20" s="23" t="s">
        <v>28</v>
      </c>
      <c r="F20" s="20"/>
      <c r="G20" s="22" t="s">
        <v>27</v>
      </c>
      <c r="H20" s="20"/>
      <c r="I20" s="22" t="s">
        <v>26</v>
      </c>
      <c r="J20" s="20"/>
      <c r="K20" s="22" t="s">
        <v>26</v>
      </c>
      <c r="L20" s="20"/>
      <c r="M20" s="22" t="s">
        <v>26</v>
      </c>
      <c r="N20" s="20"/>
    </row>
    <row r="21" spans="1:14" ht="18" customHeight="1">
      <c r="A21" s="25" t="s">
        <v>29</v>
      </c>
      <c r="B21" s="20"/>
      <c r="C21" s="25" t="s">
        <v>29</v>
      </c>
      <c r="D21" s="20"/>
      <c r="E21" s="25" t="s">
        <v>30</v>
      </c>
      <c r="F21" s="20"/>
      <c r="G21" s="25" t="s">
        <v>30</v>
      </c>
      <c r="H21" s="20"/>
      <c r="I21" s="25" t="s">
        <v>29</v>
      </c>
      <c r="J21" s="20"/>
      <c r="K21" s="25" t="s">
        <v>90</v>
      </c>
      <c r="L21" s="20"/>
      <c r="M21" s="25" t="s">
        <v>41</v>
      </c>
      <c r="N21" s="20"/>
    </row>
    <row r="22" spans="1:14" ht="18" customHeight="1">
      <c r="A22" s="2">
        <f>M14+1</f>
        <v>45488</v>
      </c>
      <c r="B22" s="3"/>
      <c r="C22" s="2">
        <f>A22+1</f>
        <v>45489</v>
      </c>
      <c r="D22" s="3"/>
      <c r="E22" s="2">
        <f>C22+1</f>
        <v>45490</v>
      </c>
      <c r="F22" s="3"/>
      <c r="G22" s="2">
        <f>E22+1</f>
        <v>45491</v>
      </c>
      <c r="H22" s="3"/>
      <c r="I22" s="2">
        <f>G22+1</f>
        <v>45492</v>
      </c>
      <c r="J22" s="3"/>
      <c r="K22" s="4">
        <f>I22+1</f>
        <v>45493</v>
      </c>
      <c r="L22" s="5"/>
      <c r="M22" s="4">
        <f>K22+1</f>
        <v>45494</v>
      </c>
      <c r="N22" s="5"/>
    </row>
    <row r="23" spans="1:14" ht="14.1">
      <c r="A23" s="29" t="s">
        <v>39</v>
      </c>
      <c r="B23" s="20"/>
      <c r="C23" s="29" t="s">
        <v>11</v>
      </c>
      <c r="D23" s="20"/>
      <c r="E23" s="29" t="s">
        <v>11</v>
      </c>
      <c r="F23" s="20"/>
      <c r="G23" s="29" t="s">
        <v>11</v>
      </c>
      <c r="H23" s="20"/>
      <c r="I23" s="29" t="s">
        <v>24</v>
      </c>
      <c r="J23" s="20"/>
      <c r="K23" s="29" t="s">
        <v>24</v>
      </c>
      <c r="L23" s="20"/>
      <c r="M23" s="29" t="s">
        <v>24</v>
      </c>
      <c r="N23" s="20"/>
    </row>
    <row r="24" spans="1:14" ht="14.1">
      <c r="A24" s="27" t="s">
        <v>25</v>
      </c>
      <c r="B24" s="20"/>
      <c r="C24" s="27" t="s">
        <v>25</v>
      </c>
      <c r="D24" s="20"/>
      <c r="E24" s="27" t="s">
        <v>25</v>
      </c>
      <c r="F24" s="20"/>
      <c r="G24" s="27" t="s">
        <v>25</v>
      </c>
      <c r="H24" s="20"/>
      <c r="I24" s="26" t="s">
        <v>51</v>
      </c>
      <c r="J24" s="20"/>
      <c r="K24" s="26" t="s">
        <v>51</v>
      </c>
      <c r="L24" s="20"/>
      <c r="M24" s="26" t="s">
        <v>51</v>
      </c>
      <c r="N24" s="20"/>
    </row>
    <row r="25" spans="1:14" ht="14.1">
      <c r="A25" s="19" t="s">
        <v>9</v>
      </c>
      <c r="B25" s="20"/>
      <c r="C25" s="19" t="s">
        <v>9</v>
      </c>
      <c r="D25" s="20"/>
      <c r="E25" s="19" t="s">
        <v>9</v>
      </c>
      <c r="F25" s="20"/>
      <c r="G25" s="19" t="s">
        <v>91</v>
      </c>
      <c r="H25" s="20"/>
      <c r="I25" s="35" t="s">
        <v>83</v>
      </c>
      <c r="J25" s="20"/>
      <c r="K25" s="35" t="s">
        <v>83</v>
      </c>
      <c r="L25" s="20"/>
      <c r="M25" s="35" t="s">
        <v>83</v>
      </c>
      <c r="N25" s="20"/>
    </row>
    <row r="26" spans="1:14" ht="14.1">
      <c r="A26" s="21" t="s">
        <v>89</v>
      </c>
      <c r="B26" s="20"/>
      <c r="C26" s="21" t="s">
        <v>89</v>
      </c>
      <c r="D26" s="20"/>
      <c r="E26" s="21" t="s">
        <v>24</v>
      </c>
      <c r="F26" s="20"/>
      <c r="G26" s="21" t="s">
        <v>24</v>
      </c>
      <c r="H26" s="20"/>
      <c r="I26" s="21" t="s">
        <v>24</v>
      </c>
      <c r="J26" s="20"/>
      <c r="K26" s="21" t="s">
        <v>24</v>
      </c>
      <c r="L26" s="20"/>
      <c r="M26" s="21" t="s">
        <v>24</v>
      </c>
      <c r="N26" s="20"/>
    </row>
    <row r="27" spans="1:14" ht="14.1">
      <c r="A27" s="56" t="s">
        <v>13</v>
      </c>
      <c r="B27" s="20"/>
      <c r="C27" s="56" t="s">
        <v>13</v>
      </c>
      <c r="D27" s="20"/>
      <c r="E27" s="56" t="s">
        <v>13</v>
      </c>
      <c r="F27" s="20"/>
      <c r="G27" s="56" t="s">
        <v>13</v>
      </c>
      <c r="H27" s="20"/>
      <c r="I27" s="56" t="s">
        <v>13</v>
      </c>
      <c r="J27" s="20"/>
      <c r="K27" s="56" t="s">
        <v>13</v>
      </c>
      <c r="L27" s="20"/>
      <c r="M27" s="56" t="s">
        <v>13</v>
      </c>
      <c r="N27" s="20"/>
    </row>
    <row r="28" spans="1:14" ht="14.1">
      <c r="A28" s="23" t="s">
        <v>27</v>
      </c>
      <c r="B28" s="20"/>
      <c r="C28" s="22" t="s">
        <v>27</v>
      </c>
      <c r="D28" s="20"/>
      <c r="E28" s="23" t="s">
        <v>28</v>
      </c>
      <c r="F28" s="20"/>
      <c r="G28" s="22" t="s">
        <v>17</v>
      </c>
      <c r="H28" s="20"/>
      <c r="I28" s="22" t="s">
        <v>17</v>
      </c>
      <c r="J28" s="20"/>
      <c r="K28" s="22" t="s">
        <v>17</v>
      </c>
      <c r="L28" s="20"/>
      <c r="M28" s="22" t="s">
        <v>17</v>
      </c>
      <c r="N28" s="20"/>
    </row>
    <row r="29" spans="1:14" ht="18" customHeight="1">
      <c r="A29" s="25" t="s">
        <v>30</v>
      </c>
      <c r="B29" s="20"/>
      <c r="C29" s="25" t="s">
        <v>30</v>
      </c>
      <c r="D29" s="20"/>
      <c r="E29" s="25" t="s">
        <v>30</v>
      </c>
      <c r="F29" s="20"/>
      <c r="G29" s="25" t="s">
        <v>63</v>
      </c>
      <c r="H29" s="20"/>
      <c r="I29" s="25" t="s">
        <v>63</v>
      </c>
      <c r="J29" s="20"/>
      <c r="K29" s="25" t="s">
        <v>74</v>
      </c>
      <c r="L29" s="20"/>
      <c r="M29" s="25" t="s">
        <v>74</v>
      </c>
      <c r="N29" s="20"/>
    </row>
    <row r="30" spans="1:14" ht="18" customHeight="1">
      <c r="A30" s="4">
        <f>M22+1</f>
        <v>45495</v>
      </c>
      <c r="B30" s="5"/>
      <c r="C30" s="4">
        <f>A30+1</f>
        <v>45496</v>
      </c>
      <c r="D30" s="5"/>
      <c r="E30" s="4">
        <f>C30+1</f>
        <v>45497</v>
      </c>
      <c r="F30" s="5"/>
      <c r="G30" s="4">
        <f>E30+1</f>
        <v>45498</v>
      </c>
      <c r="H30" s="5"/>
      <c r="I30" s="4">
        <f>G30+1</f>
        <v>45499</v>
      </c>
      <c r="J30" s="5"/>
      <c r="K30" s="4">
        <f>I30+1</f>
        <v>45500</v>
      </c>
      <c r="L30" s="5"/>
      <c r="M30" s="4">
        <f>K30+1</f>
        <v>45501</v>
      </c>
      <c r="N30" s="5"/>
    </row>
    <row r="31" spans="1:14" ht="14.1">
      <c r="A31" s="29" t="s">
        <v>24</v>
      </c>
      <c r="B31" s="20"/>
      <c r="C31" s="29" t="s">
        <v>24</v>
      </c>
      <c r="D31" s="20"/>
      <c r="E31" s="29" t="s">
        <v>24</v>
      </c>
      <c r="F31" s="20"/>
      <c r="G31" s="29" t="s">
        <v>24</v>
      </c>
      <c r="H31" s="20"/>
      <c r="I31" s="44" t="s">
        <v>53</v>
      </c>
      <c r="J31" s="20"/>
      <c r="K31" s="44" t="s">
        <v>9</v>
      </c>
      <c r="L31" s="20"/>
      <c r="M31" s="44" t="s">
        <v>9</v>
      </c>
      <c r="N31" s="20"/>
    </row>
    <row r="32" spans="1:14" ht="14.1">
      <c r="A32" s="27" t="s">
        <v>51</v>
      </c>
      <c r="B32" s="20"/>
      <c r="C32" s="27" t="s">
        <v>51</v>
      </c>
      <c r="D32" s="20"/>
      <c r="E32" s="27" t="s">
        <v>51</v>
      </c>
      <c r="F32" s="20"/>
      <c r="G32" s="27" t="s">
        <v>51</v>
      </c>
      <c r="H32" s="20"/>
      <c r="I32" s="26" t="s">
        <v>59</v>
      </c>
      <c r="J32" s="20"/>
      <c r="K32" s="26" t="s">
        <v>59</v>
      </c>
      <c r="L32" s="20"/>
      <c r="M32" s="26" t="s">
        <v>59</v>
      </c>
      <c r="N32" s="20"/>
    </row>
    <row r="33" spans="1:14" ht="14.1">
      <c r="A33" s="19" t="s">
        <v>11</v>
      </c>
      <c r="B33" s="20"/>
      <c r="C33" s="19" t="s">
        <v>11</v>
      </c>
      <c r="D33" s="20"/>
      <c r="E33" s="19" t="s">
        <v>11</v>
      </c>
      <c r="F33" s="20"/>
      <c r="G33" s="19" t="s">
        <v>11</v>
      </c>
      <c r="H33" s="20"/>
      <c r="I33" s="35" t="s">
        <v>13</v>
      </c>
      <c r="J33" s="20"/>
      <c r="K33" s="35" t="s">
        <v>55</v>
      </c>
      <c r="L33" s="20"/>
      <c r="M33" s="35" t="s">
        <v>55</v>
      </c>
      <c r="N33" s="20"/>
    </row>
    <row r="34" spans="1:14" ht="14.1">
      <c r="A34" s="21" t="s">
        <v>24</v>
      </c>
      <c r="B34" s="20"/>
      <c r="C34" s="21" t="s">
        <v>24</v>
      </c>
      <c r="D34" s="20"/>
      <c r="E34" s="21" t="s">
        <v>24</v>
      </c>
      <c r="F34" s="20"/>
      <c r="G34" s="21" t="s">
        <v>15</v>
      </c>
      <c r="H34" s="20"/>
      <c r="I34" s="21" t="s">
        <v>15</v>
      </c>
      <c r="J34" s="20"/>
      <c r="K34" s="21" t="s">
        <v>15</v>
      </c>
      <c r="L34" s="20"/>
      <c r="M34" s="21" t="s">
        <v>15</v>
      </c>
      <c r="N34" s="20"/>
    </row>
    <row r="35" spans="1:14" ht="14.1">
      <c r="A35" s="56" t="s">
        <v>43</v>
      </c>
      <c r="B35" s="20"/>
      <c r="C35" s="56" t="s">
        <v>43</v>
      </c>
      <c r="D35" s="20"/>
      <c r="E35" s="56" t="s">
        <v>43</v>
      </c>
      <c r="F35" s="20"/>
      <c r="G35" s="56" t="s">
        <v>43</v>
      </c>
      <c r="H35" s="20"/>
      <c r="I35" s="56" t="s">
        <v>43</v>
      </c>
      <c r="J35" s="20"/>
      <c r="K35" s="56" t="s">
        <v>43</v>
      </c>
      <c r="L35" s="20"/>
      <c r="M35" s="56" t="s">
        <v>43</v>
      </c>
      <c r="N35" s="20"/>
    </row>
    <row r="36" spans="1:14" ht="14.1">
      <c r="A36" s="23" t="s">
        <v>28</v>
      </c>
      <c r="B36" s="20"/>
      <c r="C36" s="22" t="s">
        <v>17</v>
      </c>
      <c r="D36" s="20"/>
      <c r="E36" s="23" t="s">
        <v>28</v>
      </c>
      <c r="F36" s="20"/>
      <c r="G36" s="22" t="s">
        <v>71</v>
      </c>
      <c r="H36" s="20"/>
      <c r="I36" s="22" t="s">
        <v>27</v>
      </c>
      <c r="J36" s="20"/>
      <c r="K36" s="22" t="s">
        <v>19</v>
      </c>
      <c r="L36" s="20"/>
      <c r="M36" s="22" t="s">
        <v>19</v>
      </c>
      <c r="N36" s="20"/>
    </row>
    <row r="37" spans="1:14" ht="18" customHeight="1">
      <c r="A37" s="25" t="s">
        <v>50</v>
      </c>
      <c r="B37" s="20"/>
      <c r="C37" s="25" t="s">
        <v>63</v>
      </c>
      <c r="D37" s="20"/>
      <c r="E37" s="25" t="s">
        <v>50</v>
      </c>
      <c r="F37" s="20"/>
      <c r="G37" s="25" t="s">
        <v>63</v>
      </c>
      <c r="H37" s="20"/>
      <c r="I37" s="25" t="s">
        <v>50</v>
      </c>
      <c r="J37" s="20"/>
      <c r="K37" s="25" t="s">
        <v>50</v>
      </c>
      <c r="L37" s="20"/>
      <c r="M37" s="25" t="s">
        <v>50</v>
      </c>
      <c r="N37" s="20"/>
    </row>
    <row r="38" spans="1:14" ht="18" customHeight="1">
      <c r="A38" s="4">
        <f>IF(M30="","",IF(MONTH(M30+1)&lt;&gt;MONTH($A$1),"",M30+1))</f>
        <v>45502</v>
      </c>
      <c r="B38" s="5"/>
      <c r="C38" s="4">
        <f>IF(A38="","",IF(MONTH(A38+1)&lt;&gt;MONTH($A$1),"",A38+1))</f>
        <v>45503</v>
      </c>
      <c r="D38" s="5"/>
      <c r="E38" s="4">
        <f>IF(C38="","",IF(MONTH(C38+1)&lt;&gt;MONTH($A$1),"",C38+1))</f>
        <v>45504</v>
      </c>
      <c r="F38" s="5"/>
      <c r="G38" s="4" t="str">
        <f>IF(E38="","",IF(MONTH(E38+1)&lt;&gt;MONTH($A$1),"",E38+1))</f>
        <v/>
      </c>
      <c r="H38" s="5"/>
      <c r="I38" s="4" t="str">
        <f>IF(G38="","",IF(MONTH(G38+1)&lt;&gt;MONTH($A$1),"",G38+1))</f>
        <v/>
      </c>
      <c r="J38" s="5"/>
      <c r="K38" s="4" t="str">
        <f>IF(I38="","",IF(MONTH(I38+1)&lt;&gt;MONTH($A$1),"",I38+1))</f>
        <v/>
      </c>
      <c r="L38" s="5"/>
      <c r="M38" s="4" t="str">
        <f>IF(K38="","",IF(MONTH(K38+1)&lt;&gt;MONTH($A$1),"",K38+1))</f>
        <v/>
      </c>
      <c r="N38" s="5"/>
    </row>
    <row r="39" spans="1:14" ht="14.1">
      <c r="A39" s="29" t="s">
        <v>53</v>
      </c>
      <c r="B39" s="20"/>
      <c r="C39" s="29" t="s">
        <v>9</v>
      </c>
      <c r="D39" s="20"/>
      <c r="E39" s="29" t="s">
        <v>92</v>
      </c>
      <c r="F39" s="20"/>
      <c r="G39" s="29" t="s">
        <v>9</v>
      </c>
      <c r="H39" s="20"/>
      <c r="I39" s="44" t="s">
        <v>93</v>
      </c>
      <c r="J39" s="20"/>
      <c r="K39" s="44" t="s">
        <v>50</v>
      </c>
      <c r="L39" s="20"/>
      <c r="M39" s="44"/>
      <c r="N39" s="20"/>
    </row>
    <row r="40" spans="1:14" ht="14.1">
      <c r="A40" s="27" t="s">
        <v>59</v>
      </c>
      <c r="B40" s="20"/>
      <c r="C40" s="27" t="s">
        <v>59</v>
      </c>
      <c r="D40" s="20"/>
      <c r="E40" s="27" t="s">
        <v>59</v>
      </c>
      <c r="F40" s="20"/>
      <c r="G40" s="27" t="s">
        <v>59</v>
      </c>
      <c r="H40" s="20"/>
      <c r="I40" s="26" t="s">
        <v>12</v>
      </c>
      <c r="J40" s="20"/>
      <c r="K40" s="26" t="s">
        <v>12</v>
      </c>
      <c r="L40" s="20"/>
      <c r="M40" s="26"/>
      <c r="N40" s="20"/>
    </row>
    <row r="41" spans="1:14" ht="14.1">
      <c r="A41" s="19" t="s">
        <v>13</v>
      </c>
      <c r="B41" s="20"/>
      <c r="C41" s="19" t="s">
        <v>13</v>
      </c>
      <c r="D41" s="20"/>
      <c r="E41" s="19" t="s">
        <v>13</v>
      </c>
      <c r="F41" s="20"/>
      <c r="G41" s="19" t="s">
        <v>13</v>
      </c>
      <c r="H41" s="20"/>
      <c r="I41" s="35" t="s">
        <v>9</v>
      </c>
      <c r="J41" s="20"/>
      <c r="K41" s="35" t="s">
        <v>53</v>
      </c>
      <c r="L41" s="20"/>
      <c r="M41" s="35"/>
      <c r="N41" s="20"/>
    </row>
    <row r="42" spans="1:14" ht="14.1">
      <c r="A42" s="21" t="s">
        <v>24</v>
      </c>
      <c r="B42" s="20"/>
      <c r="C42" s="21" t="s">
        <v>24</v>
      </c>
      <c r="D42" s="20"/>
      <c r="E42" s="21" t="s">
        <v>24</v>
      </c>
      <c r="F42" s="20"/>
      <c r="G42" s="21" t="s">
        <v>24</v>
      </c>
      <c r="H42" s="20"/>
      <c r="I42" s="21" t="s">
        <v>24</v>
      </c>
      <c r="J42" s="20"/>
      <c r="K42" s="21" t="s">
        <v>24</v>
      </c>
      <c r="L42" s="20"/>
      <c r="M42" s="30"/>
      <c r="N42" s="20"/>
    </row>
    <row r="43" spans="1:14" ht="14.1">
      <c r="A43" s="56" t="s">
        <v>16</v>
      </c>
      <c r="B43" s="20"/>
      <c r="C43" s="57" t="s">
        <v>16</v>
      </c>
      <c r="D43" s="20"/>
      <c r="E43" s="56" t="s">
        <v>16</v>
      </c>
      <c r="F43" s="20"/>
      <c r="G43" s="57" t="s">
        <v>16</v>
      </c>
      <c r="H43" s="20"/>
      <c r="I43" s="57" t="s">
        <v>16</v>
      </c>
      <c r="J43" s="20"/>
      <c r="K43" s="57" t="s">
        <v>16</v>
      </c>
      <c r="L43" s="20"/>
      <c r="M43" s="57"/>
      <c r="N43" s="20"/>
    </row>
    <row r="44" spans="1:14" ht="14.1">
      <c r="A44" s="23" t="s">
        <v>27</v>
      </c>
      <c r="B44" s="20"/>
      <c r="C44" s="22" t="s">
        <v>27</v>
      </c>
      <c r="D44" s="20"/>
      <c r="E44" s="23" t="s">
        <v>28</v>
      </c>
      <c r="F44" s="20"/>
      <c r="G44" s="22" t="s">
        <v>84</v>
      </c>
      <c r="H44" s="20"/>
      <c r="I44" s="22" t="s">
        <v>28</v>
      </c>
      <c r="J44" s="20"/>
      <c r="K44" s="22" t="s">
        <v>36</v>
      </c>
      <c r="L44" s="20"/>
      <c r="M44" s="22"/>
      <c r="N44" s="20"/>
    </row>
    <row r="45" spans="1:14" ht="18" customHeight="1">
      <c r="A45" s="25" t="s">
        <v>30</v>
      </c>
      <c r="B45" s="20"/>
      <c r="C45" s="25" t="s">
        <v>30</v>
      </c>
      <c r="D45" s="20"/>
      <c r="E45" s="25" t="s">
        <v>30</v>
      </c>
      <c r="F45" s="20"/>
      <c r="G45" s="25" t="s">
        <v>29</v>
      </c>
      <c r="H45" s="20"/>
      <c r="I45" s="25" t="s">
        <v>30</v>
      </c>
      <c r="J45" s="20"/>
      <c r="K45" s="25" t="s">
        <v>30</v>
      </c>
      <c r="L45" s="20"/>
      <c r="M45" s="31"/>
      <c r="N45" s="24"/>
    </row>
    <row r="46" spans="1:14" ht="18" customHeight="1">
      <c r="A46" s="2" t="str">
        <f>IF(M38="","",IF(MONTH(M38+1)&lt;&gt;MONTH($A$1),"",M38+1))</f>
        <v/>
      </c>
      <c r="B46" s="3"/>
      <c r="C46" s="2" t="str">
        <f>IF(A46="","",IF(MONTH(A46+1)&lt;&gt;MONTH($A$1),"",A46+1))</f>
        <v/>
      </c>
      <c r="D46" s="3"/>
      <c r="E46" s="46" t="s">
        <v>22</v>
      </c>
      <c r="F46" s="47"/>
      <c r="G46" s="48"/>
      <c r="H46" s="47"/>
      <c r="I46" s="47"/>
      <c r="J46" s="47"/>
      <c r="K46" s="47"/>
      <c r="L46" s="47"/>
      <c r="M46" s="47"/>
      <c r="N46" s="49"/>
    </row>
    <row r="47" spans="1:14" ht="14.1">
      <c r="A47" s="29"/>
      <c r="B47" s="20"/>
      <c r="C47" s="44"/>
      <c r="D47" s="20"/>
      <c r="E47" s="45" t="s">
        <v>94</v>
      </c>
      <c r="F47" s="37"/>
      <c r="G47" s="37"/>
      <c r="H47" s="37"/>
      <c r="I47" s="37"/>
      <c r="J47" s="37"/>
      <c r="K47" s="37"/>
      <c r="L47" s="37"/>
      <c r="M47" s="37"/>
      <c r="N47" s="20"/>
    </row>
    <row r="48" spans="1:14" ht="14.1">
      <c r="A48" s="27"/>
      <c r="B48" s="20"/>
      <c r="C48" s="26"/>
      <c r="D48" s="20"/>
      <c r="E48" s="45" t="s">
        <v>95</v>
      </c>
      <c r="F48" s="37"/>
      <c r="G48" s="37"/>
      <c r="H48" s="37"/>
      <c r="I48" s="37"/>
      <c r="J48" s="37"/>
      <c r="K48" s="37"/>
      <c r="L48" s="37"/>
      <c r="M48" s="37"/>
      <c r="N48" s="20"/>
    </row>
    <row r="49" spans="1:14" ht="14.1">
      <c r="A49" s="19"/>
      <c r="B49" s="20"/>
      <c r="C49" s="35"/>
      <c r="D49" s="20"/>
      <c r="E49" s="45" t="s">
        <v>96</v>
      </c>
      <c r="F49" s="37"/>
      <c r="G49" s="37"/>
      <c r="H49" s="37"/>
      <c r="I49" s="37"/>
      <c r="J49" s="37"/>
      <c r="K49" s="37"/>
      <c r="L49" s="37"/>
      <c r="M49" s="37"/>
      <c r="N49" s="20"/>
    </row>
    <row r="50" spans="1:14" ht="14.1">
      <c r="A50" s="21"/>
      <c r="B50" s="20"/>
      <c r="C50" s="30"/>
      <c r="D50" s="20"/>
      <c r="E50" s="6"/>
      <c r="F50" s="6"/>
      <c r="G50" s="7"/>
      <c r="H50" s="7"/>
      <c r="I50" s="7"/>
      <c r="J50" s="7"/>
      <c r="K50" s="7"/>
      <c r="L50" s="7"/>
      <c r="M50" s="7"/>
      <c r="N50" s="8"/>
    </row>
    <row r="51" spans="1:14" ht="14.1">
      <c r="A51" s="56"/>
      <c r="B51" s="20"/>
      <c r="C51" s="57"/>
      <c r="D51" s="20"/>
      <c r="E51" s="6"/>
      <c r="F51" s="7"/>
      <c r="G51" s="7"/>
      <c r="H51" s="7"/>
      <c r="I51" s="7"/>
      <c r="J51" s="7"/>
      <c r="K51" s="7"/>
      <c r="L51" s="7"/>
      <c r="M51" s="7"/>
      <c r="N51" s="8"/>
    </row>
    <row r="52" spans="1:14" ht="14.1">
      <c r="A52" s="23"/>
      <c r="B52" s="20"/>
      <c r="C52" s="22"/>
      <c r="D52" s="20"/>
      <c r="E52" s="6"/>
      <c r="F52" s="7"/>
      <c r="G52" s="7"/>
      <c r="H52" s="7"/>
      <c r="I52" s="7"/>
      <c r="J52" s="7"/>
      <c r="K52" s="7"/>
      <c r="L52" s="7"/>
      <c r="M52" s="7"/>
      <c r="N52" s="8"/>
    </row>
    <row r="53" spans="1:14" ht="14.1">
      <c r="A53" s="25"/>
      <c r="B53" s="20"/>
      <c r="C53" s="31"/>
      <c r="D53" s="24"/>
      <c r="E53" s="32" t="s">
        <v>23</v>
      </c>
      <c r="F53" s="33"/>
      <c r="G53" s="33"/>
      <c r="H53" s="33"/>
      <c r="I53" s="34" t="str">
        <f>HYPERLINK("https://www.vertex42.com/calendars/academic-calendar.html","https://www.vertex42.com/calendars/academic-calendar.html")</f>
        <v>https://www.vertex42.com/calendars/academic-calendar.html</v>
      </c>
      <c r="J53" s="33"/>
      <c r="K53" s="33"/>
      <c r="L53" s="33"/>
      <c r="M53" s="33"/>
      <c r="N53" s="24"/>
    </row>
  </sheetData>
  <mergeCells count="283">
    <mergeCell ref="C42:D42"/>
    <mergeCell ref="E42:F42"/>
    <mergeCell ref="G42:H42"/>
    <mergeCell ref="I42:J42"/>
    <mergeCell ref="K42:L42"/>
    <mergeCell ref="M42:N42"/>
    <mergeCell ref="A42:B42"/>
    <mergeCell ref="C43:D43"/>
    <mergeCell ref="E43:F43"/>
    <mergeCell ref="G43:H43"/>
    <mergeCell ref="I43:J43"/>
    <mergeCell ref="K43:L43"/>
    <mergeCell ref="M43:N43"/>
    <mergeCell ref="A43:B43"/>
    <mergeCell ref="C40:D40"/>
    <mergeCell ref="E40:F40"/>
    <mergeCell ref="G40:H40"/>
    <mergeCell ref="I40:J40"/>
    <mergeCell ref="K40:L40"/>
    <mergeCell ref="M40:N40"/>
    <mergeCell ref="A40:B40"/>
    <mergeCell ref="C41:D41"/>
    <mergeCell ref="E41:F41"/>
    <mergeCell ref="G41:H41"/>
    <mergeCell ref="I41:J41"/>
    <mergeCell ref="K41:L41"/>
    <mergeCell ref="M41:N41"/>
    <mergeCell ref="A41:B41"/>
    <mergeCell ref="C35:D35"/>
    <mergeCell ref="E35:F35"/>
    <mergeCell ref="G35:H35"/>
    <mergeCell ref="I35:J35"/>
    <mergeCell ref="K35:L35"/>
    <mergeCell ref="M35:N35"/>
    <mergeCell ref="A35:B35"/>
    <mergeCell ref="C36:D36"/>
    <mergeCell ref="E36:F36"/>
    <mergeCell ref="G36:H36"/>
    <mergeCell ref="I36:J36"/>
    <mergeCell ref="K36:L36"/>
    <mergeCell ref="M36:N36"/>
    <mergeCell ref="A36:B36"/>
    <mergeCell ref="C33:D33"/>
    <mergeCell ref="E33:F33"/>
    <mergeCell ref="G33:H33"/>
    <mergeCell ref="I33:J33"/>
    <mergeCell ref="K33:L33"/>
    <mergeCell ref="M33:N33"/>
    <mergeCell ref="A33:B33"/>
    <mergeCell ref="C34:D34"/>
    <mergeCell ref="E34:F34"/>
    <mergeCell ref="G34:H34"/>
    <mergeCell ref="I34:J34"/>
    <mergeCell ref="K34:L34"/>
    <mergeCell ref="M34:N34"/>
    <mergeCell ref="A34:B34"/>
    <mergeCell ref="C31:D31"/>
    <mergeCell ref="E31:F31"/>
    <mergeCell ref="G31:H31"/>
    <mergeCell ref="I31:J31"/>
    <mergeCell ref="K31:L31"/>
    <mergeCell ref="M31:N31"/>
    <mergeCell ref="A31:B31"/>
    <mergeCell ref="C32:D32"/>
    <mergeCell ref="E32:F32"/>
    <mergeCell ref="G32:H32"/>
    <mergeCell ref="I32:J32"/>
    <mergeCell ref="K32:L32"/>
    <mergeCell ref="M32:N32"/>
    <mergeCell ref="A32:B32"/>
    <mergeCell ref="C28:D28"/>
    <mergeCell ref="E28:F28"/>
    <mergeCell ref="G28:H28"/>
    <mergeCell ref="I28:J28"/>
    <mergeCell ref="K28:L28"/>
    <mergeCell ref="M28:N28"/>
    <mergeCell ref="A28:B28"/>
    <mergeCell ref="C29:D29"/>
    <mergeCell ref="E29:F29"/>
    <mergeCell ref="G29:H29"/>
    <mergeCell ref="I29:J29"/>
    <mergeCell ref="K29:L29"/>
    <mergeCell ref="M29:N29"/>
    <mergeCell ref="A29:B29"/>
    <mergeCell ref="C21:D21"/>
    <mergeCell ref="E21:F21"/>
    <mergeCell ref="G21:H21"/>
    <mergeCell ref="I21:J21"/>
    <mergeCell ref="K21:L21"/>
    <mergeCell ref="M21:N21"/>
    <mergeCell ref="A21:B21"/>
    <mergeCell ref="C23:D23"/>
    <mergeCell ref="E23:F23"/>
    <mergeCell ref="G23:H23"/>
    <mergeCell ref="I23:J23"/>
    <mergeCell ref="K23:L23"/>
    <mergeCell ref="M23:N23"/>
    <mergeCell ref="A23:B23"/>
    <mergeCell ref="A52:B52"/>
    <mergeCell ref="C52:D52"/>
    <mergeCell ref="A53:B53"/>
    <mergeCell ref="C53:D53"/>
    <mergeCell ref="E53:H53"/>
    <mergeCell ref="I53:N53"/>
    <mergeCell ref="A49:B49"/>
    <mergeCell ref="C49:D49"/>
    <mergeCell ref="E49:N49"/>
    <mergeCell ref="A50:B50"/>
    <mergeCell ref="C50:D50"/>
    <mergeCell ref="A51:B51"/>
    <mergeCell ref="C51:D51"/>
    <mergeCell ref="C8:D8"/>
    <mergeCell ref="E8:F8"/>
    <mergeCell ref="G8:H8"/>
    <mergeCell ref="I8:J8"/>
    <mergeCell ref="K8:L8"/>
    <mergeCell ref="M8:N8"/>
    <mergeCell ref="A8:B8"/>
    <mergeCell ref="C9:D9"/>
    <mergeCell ref="E9:F9"/>
    <mergeCell ref="G9:H9"/>
    <mergeCell ref="I9:J9"/>
    <mergeCell ref="K9:L9"/>
    <mergeCell ref="M9:N9"/>
    <mergeCell ref="A9:B9"/>
    <mergeCell ref="C5:D5"/>
    <mergeCell ref="E5:F5"/>
    <mergeCell ref="G5:H5"/>
    <mergeCell ref="I5:J5"/>
    <mergeCell ref="K5:L5"/>
    <mergeCell ref="M5:N5"/>
    <mergeCell ref="A5:B5"/>
    <mergeCell ref="C7:D7"/>
    <mergeCell ref="E7:F7"/>
    <mergeCell ref="G7:H7"/>
    <mergeCell ref="I7:J7"/>
    <mergeCell ref="K7:L7"/>
    <mergeCell ref="M7:N7"/>
    <mergeCell ref="A7:B7"/>
    <mergeCell ref="K3:L3"/>
    <mergeCell ref="M3:N3"/>
    <mergeCell ref="A1:N1"/>
    <mergeCell ref="A2:N2"/>
    <mergeCell ref="C3:D3"/>
    <mergeCell ref="E3:F3"/>
    <mergeCell ref="G3:H3"/>
    <mergeCell ref="I3:J3"/>
    <mergeCell ref="A4:N4"/>
    <mergeCell ref="A3:B3"/>
    <mergeCell ref="C48:D48"/>
    <mergeCell ref="E48:N48"/>
    <mergeCell ref="E45:F45"/>
    <mergeCell ref="E46:F46"/>
    <mergeCell ref="G46:N46"/>
    <mergeCell ref="A47:B47"/>
    <mergeCell ref="C47:D47"/>
    <mergeCell ref="E47:N47"/>
    <mergeCell ref="A48:B48"/>
    <mergeCell ref="C44:D44"/>
    <mergeCell ref="E44:F44"/>
    <mergeCell ref="G44:H44"/>
    <mergeCell ref="I44:J44"/>
    <mergeCell ref="K44:L44"/>
    <mergeCell ref="M44:N44"/>
    <mergeCell ref="A44:B44"/>
    <mergeCell ref="A45:B45"/>
    <mergeCell ref="C45:D45"/>
    <mergeCell ref="G45:H45"/>
    <mergeCell ref="I45:J45"/>
    <mergeCell ref="K45:L45"/>
    <mergeCell ref="M45:N45"/>
    <mergeCell ref="C37:D37"/>
    <mergeCell ref="E37:F37"/>
    <mergeCell ref="G37:H37"/>
    <mergeCell ref="I37:J37"/>
    <mergeCell ref="K37:L37"/>
    <mergeCell ref="M37:N37"/>
    <mergeCell ref="A37:B37"/>
    <mergeCell ref="C39:D39"/>
    <mergeCell ref="E39:F39"/>
    <mergeCell ref="G39:H39"/>
    <mergeCell ref="I39:J39"/>
    <mergeCell ref="K39:L39"/>
    <mergeCell ref="M39:N39"/>
    <mergeCell ref="A39:B39"/>
    <mergeCell ref="C26:D26"/>
    <mergeCell ref="E26:F26"/>
    <mergeCell ref="G26:H26"/>
    <mergeCell ref="I26:J26"/>
    <mergeCell ref="K26:L26"/>
    <mergeCell ref="M26:N26"/>
    <mergeCell ref="A26:B26"/>
    <mergeCell ref="C27:D27"/>
    <mergeCell ref="E27:F27"/>
    <mergeCell ref="G27:H27"/>
    <mergeCell ref="I27:J27"/>
    <mergeCell ref="K27:L27"/>
    <mergeCell ref="M27:N27"/>
    <mergeCell ref="A27:B27"/>
    <mergeCell ref="C24:D24"/>
    <mergeCell ref="E24:F24"/>
    <mergeCell ref="G24:H24"/>
    <mergeCell ref="I24:J24"/>
    <mergeCell ref="K24:L24"/>
    <mergeCell ref="M24:N24"/>
    <mergeCell ref="A24:B24"/>
    <mergeCell ref="C25:D25"/>
    <mergeCell ref="E25:F25"/>
    <mergeCell ref="G25:H25"/>
    <mergeCell ref="I25:J25"/>
    <mergeCell ref="K25:L25"/>
    <mergeCell ref="M25:N25"/>
    <mergeCell ref="A25:B25"/>
    <mergeCell ref="C19:D19"/>
    <mergeCell ref="E19:F19"/>
    <mergeCell ref="G19:H19"/>
    <mergeCell ref="I19:J19"/>
    <mergeCell ref="K19:L19"/>
    <mergeCell ref="M19:N19"/>
    <mergeCell ref="A19:B19"/>
    <mergeCell ref="C20:D20"/>
    <mergeCell ref="E20:F20"/>
    <mergeCell ref="G20:H20"/>
    <mergeCell ref="I20:J20"/>
    <mergeCell ref="K20:L20"/>
    <mergeCell ref="M20:N20"/>
    <mergeCell ref="A20:B20"/>
    <mergeCell ref="C17:D17"/>
    <mergeCell ref="E17:F17"/>
    <mergeCell ref="G17:H17"/>
    <mergeCell ref="I17:J17"/>
    <mergeCell ref="K17:L17"/>
    <mergeCell ref="M17:N17"/>
    <mergeCell ref="A17:B17"/>
    <mergeCell ref="C18:D18"/>
    <mergeCell ref="E18:F18"/>
    <mergeCell ref="G18:H18"/>
    <mergeCell ref="I18:J18"/>
    <mergeCell ref="K18:L18"/>
    <mergeCell ref="M18:N18"/>
    <mergeCell ref="A18:B18"/>
    <mergeCell ref="C15:D15"/>
    <mergeCell ref="E15:F15"/>
    <mergeCell ref="G15:H15"/>
    <mergeCell ref="I15:J15"/>
    <mergeCell ref="K15:L15"/>
    <mergeCell ref="M15:N15"/>
    <mergeCell ref="A15:B15"/>
    <mergeCell ref="C16:D16"/>
    <mergeCell ref="E16:F16"/>
    <mergeCell ref="G16:H16"/>
    <mergeCell ref="I16:J16"/>
    <mergeCell ref="K16:L16"/>
    <mergeCell ref="M16:N16"/>
    <mergeCell ref="A16:B16"/>
    <mergeCell ref="C12:D12"/>
    <mergeCell ref="E12:F12"/>
    <mergeCell ref="G12:H12"/>
    <mergeCell ref="I12:J12"/>
    <mergeCell ref="K12:L12"/>
    <mergeCell ref="M12:N12"/>
    <mergeCell ref="A12:B12"/>
    <mergeCell ref="C13:D13"/>
    <mergeCell ref="E13:F13"/>
    <mergeCell ref="G13:H13"/>
    <mergeCell ref="I13:J13"/>
    <mergeCell ref="K13:L13"/>
    <mergeCell ref="M13:N13"/>
    <mergeCell ref="A13:B13"/>
    <mergeCell ref="C10:D10"/>
    <mergeCell ref="E10:F10"/>
    <mergeCell ref="G10:H10"/>
    <mergeCell ref="I10:J10"/>
    <mergeCell ref="K10:L10"/>
    <mergeCell ref="M10:N10"/>
    <mergeCell ref="A10:B10"/>
    <mergeCell ref="C11:D11"/>
    <mergeCell ref="E11:F11"/>
    <mergeCell ref="G11:H11"/>
    <mergeCell ref="I11:J11"/>
    <mergeCell ref="K11:L11"/>
    <mergeCell ref="M11:N11"/>
    <mergeCell ref="A11:B11"/>
  </mergeCells>
  <printOptions horizontalCentered="1" gridLines="1"/>
  <pageMargins left="0.25" right="0.25" top="0.5" bottom="0.5" header="0" footer="0"/>
  <pageSetup pageOrder="overThenDown" orientation="landscape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N53"/>
  <sheetViews>
    <sheetView showGridLines="0" topLeftCell="A2" workbookViewId="0"/>
  </sheetViews>
  <sheetFormatPr defaultColWidth="12.5703125" defaultRowHeight="12.75" customHeight="1"/>
  <cols>
    <col min="1" max="1" width="3.85546875" customWidth="1"/>
    <col min="2" max="2" width="13.42578125" customWidth="1"/>
    <col min="3" max="3" width="3.85546875" customWidth="1"/>
    <col min="4" max="4" width="13.42578125" customWidth="1"/>
    <col min="5" max="5" width="3.85546875" customWidth="1"/>
    <col min="6" max="6" width="13.42578125" customWidth="1"/>
    <col min="7" max="7" width="3.85546875" customWidth="1"/>
    <col min="8" max="8" width="13.42578125" customWidth="1"/>
    <col min="9" max="9" width="3.85546875" customWidth="1"/>
    <col min="10" max="10" width="13.42578125" customWidth="1"/>
    <col min="11" max="11" width="3.85546875" customWidth="1"/>
    <col min="12" max="12" width="13.42578125" customWidth="1"/>
    <col min="13" max="13" width="3.85546875" customWidth="1"/>
    <col min="14" max="14" width="13.42578125" customWidth="1"/>
  </cols>
  <sheetData>
    <row r="1" spans="1:14" ht="18" hidden="1" customHeight="1">
      <c r="A1" s="52">
        <f>EDATE('©'!A17,13)</f>
        <v>45505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4" ht="18" customHeight="1">
      <c r="A2" s="39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1:14" ht="18" customHeight="1">
      <c r="A3" s="29" t="s">
        <v>2</v>
      </c>
      <c r="B3" s="37"/>
      <c r="C3" s="27" t="s">
        <v>3</v>
      </c>
      <c r="D3" s="37"/>
      <c r="E3" s="19" t="s">
        <v>4</v>
      </c>
      <c r="F3" s="37"/>
      <c r="G3" s="21" t="s">
        <v>5</v>
      </c>
      <c r="H3" s="37"/>
      <c r="I3" s="56" t="s">
        <v>6</v>
      </c>
      <c r="J3" s="37"/>
      <c r="K3" s="23" t="s">
        <v>7</v>
      </c>
      <c r="L3" s="37"/>
      <c r="M3" s="25" t="s">
        <v>8</v>
      </c>
      <c r="N3" s="37"/>
    </row>
    <row r="4" spans="1:14" ht="60.75" customHeight="1">
      <c r="A4" s="42" t="str">
        <f>UPPER(TEXT(A1,"mmmm yyyy"))</f>
        <v>AUGUST 2024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</row>
    <row r="5" spans="1:14" ht="15" customHeight="1">
      <c r="A5" s="40">
        <f>A14</f>
        <v>45509</v>
      </c>
      <c r="B5" s="41"/>
      <c r="C5" s="40">
        <f>C14</f>
        <v>45510</v>
      </c>
      <c r="D5" s="41"/>
      <c r="E5" s="40">
        <f>E14</f>
        <v>45511</v>
      </c>
      <c r="F5" s="41"/>
      <c r="G5" s="40">
        <f>G14</f>
        <v>45512</v>
      </c>
      <c r="H5" s="41"/>
      <c r="I5" s="40">
        <f>I14</f>
        <v>45513</v>
      </c>
      <c r="J5" s="41"/>
      <c r="K5" s="40">
        <f>K14</f>
        <v>45514</v>
      </c>
      <c r="L5" s="41"/>
      <c r="M5" s="40">
        <f>M14</f>
        <v>45515</v>
      </c>
      <c r="N5" s="41"/>
    </row>
    <row r="6" spans="1:14" ht="18" customHeight="1">
      <c r="A6" s="2" t="str">
        <f>IF(WEEKDAY($A$1,1)=startday,$A$1,"")</f>
        <v/>
      </c>
      <c r="B6" s="3"/>
      <c r="C6" s="2" t="str">
        <f>IF(A6="",IF(WEEKDAY($A$1,1)=MOD(startday,7)+1,$A$1,""),A6+1)</f>
        <v/>
      </c>
      <c r="D6" s="3"/>
      <c r="E6" s="2" t="str">
        <f>IF(C6="",IF(WEEKDAY($A$1,1)=MOD(startday,7)+2,$A$1,""),C6+1)</f>
        <v/>
      </c>
      <c r="F6" s="3"/>
      <c r="G6" s="2">
        <f>IF(E6="",IF(WEEKDAY($A$1,1)=MOD(startday,7)+3,$A$1,""),E6+1)</f>
        <v>45505</v>
      </c>
      <c r="H6" s="3"/>
      <c r="I6" s="2">
        <f>IF(G6="",IF(WEEKDAY($A$1,1)=MOD(startday,7)+4,$A$1,""),G6+1)</f>
        <v>45506</v>
      </c>
      <c r="J6" s="3"/>
      <c r="K6" s="4">
        <f>IF(I6="",IF(WEEKDAY($A$1,1)=MOD(startday,7)+5,$A$1,""),I6+1)</f>
        <v>45507</v>
      </c>
      <c r="L6" s="5"/>
      <c r="M6" s="4">
        <f>IF(K6="",IF(WEEKDAY($A$1,1)=MOD(startday+5,7)+1,$A$1,""),K6+1)</f>
        <v>45508</v>
      </c>
      <c r="N6" s="5"/>
    </row>
    <row r="7" spans="1:14" ht="14.1">
      <c r="A7" s="29"/>
      <c r="B7" s="20"/>
      <c r="C7" s="44"/>
      <c r="D7" s="20"/>
      <c r="E7" s="29"/>
      <c r="F7" s="20"/>
      <c r="G7" s="44"/>
      <c r="H7" s="20"/>
      <c r="I7" s="44"/>
      <c r="J7" s="20"/>
      <c r="K7" s="44"/>
      <c r="L7" s="20"/>
      <c r="M7" s="44" t="s">
        <v>50</v>
      </c>
      <c r="N7" s="20"/>
    </row>
    <row r="8" spans="1:14" ht="14.1">
      <c r="A8" s="27"/>
      <c r="B8" s="20"/>
      <c r="C8" s="26"/>
      <c r="D8" s="20"/>
      <c r="E8" s="26"/>
      <c r="F8" s="20"/>
      <c r="G8" s="26"/>
      <c r="H8" s="20"/>
      <c r="I8" s="26"/>
      <c r="J8" s="20"/>
      <c r="K8" s="26"/>
      <c r="L8" s="20"/>
      <c r="M8" s="26" t="s">
        <v>12</v>
      </c>
      <c r="N8" s="20"/>
    </row>
    <row r="9" spans="1:14" ht="14.1">
      <c r="A9" s="19"/>
      <c r="B9" s="20"/>
      <c r="C9" s="35"/>
      <c r="D9" s="20"/>
      <c r="E9" s="19"/>
      <c r="F9" s="20"/>
      <c r="G9" s="35"/>
      <c r="H9" s="20"/>
      <c r="I9" s="35"/>
      <c r="J9" s="20"/>
      <c r="K9" s="35"/>
      <c r="L9" s="20"/>
      <c r="M9" s="35" t="s">
        <v>53</v>
      </c>
      <c r="N9" s="20"/>
    </row>
    <row r="10" spans="1:14" ht="14.1">
      <c r="A10" s="21"/>
      <c r="B10" s="20"/>
      <c r="C10" s="30"/>
      <c r="D10" s="20"/>
      <c r="E10" s="30"/>
      <c r="F10" s="20"/>
      <c r="G10" s="30"/>
      <c r="H10" s="20"/>
      <c r="I10" s="30"/>
      <c r="J10" s="20"/>
      <c r="K10" s="30"/>
      <c r="L10" s="20"/>
      <c r="M10" s="30" t="s">
        <v>24</v>
      </c>
      <c r="N10" s="20"/>
    </row>
    <row r="11" spans="1:14" ht="14.1">
      <c r="A11" s="56"/>
      <c r="B11" s="20"/>
      <c r="C11" s="57"/>
      <c r="D11" s="20"/>
      <c r="E11" s="57"/>
      <c r="F11" s="20"/>
      <c r="G11" s="57"/>
      <c r="H11" s="20"/>
      <c r="I11" s="57"/>
      <c r="J11" s="20"/>
      <c r="K11" s="57"/>
      <c r="L11" s="20"/>
      <c r="M11" s="57" t="s">
        <v>16</v>
      </c>
      <c r="N11" s="20"/>
    </row>
    <row r="12" spans="1:14" ht="14.1">
      <c r="A12" s="23"/>
      <c r="B12" s="20"/>
      <c r="C12" s="22"/>
      <c r="D12" s="20"/>
      <c r="E12" s="23"/>
      <c r="F12" s="20"/>
      <c r="G12" s="22"/>
      <c r="H12" s="20"/>
      <c r="I12" s="22"/>
      <c r="J12" s="20"/>
      <c r="K12" s="22"/>
      <c r="L12" s="20"/>
      <c r="M12" s="22" t="s">
        <v>36</v>
      </c>
      <c r="N12" s="20"/>
    </row>
    <row r="13" spans="1:14" ht="18" customHeight="1">
      <c r="A13" s="25"/>
      <c r="B13" s="20"/>
      <c r="C13" s="31"/>
      <c r="D13" s="24"/>
      <c r="E13" s="31"/>
      <c r="F13" s="24"/>
      <c r="G13" s="31"/>
      <c r="H13" s="24"/>
      <c r="I13" s="31"/>
      <c r="J13" s="24"/>
      <c r="K13" s="31"/>
      <c r="L13" s="24"/>
      <c r="M13" s="31" t="s">
        <v>30</v>
      </c>
      <c r="N13" s="24"/>
    </row>
    <row r="14" spans="1:14" ht="18" customHeight="1">
      <c r="A14" s="2">
        <f>M6+1</f>
        <v>45509</v>
      </c>
      <c r="B14" s="3"/>
      <c r="C14" s="2">
        <f>A14+1</f>
        <v>45510</v>
      </c>
      <c r="D14" s="3"/>
      <c r="E14" s="2">
        <f>C14+1</f>
        <v>45511</v>
      </c>
      <c r="F14" s="3"/>
      <c r="G14" s="2">
        <f>E14+1</f>
        <v>45512</v>
      </c>
      <c r="H14" s="3"/>
      <c r="I14" s="2">
        <f>G14+1</f>
        <v>45513</v>
      </c>
      <c r="J14" s="3"/>
      <c r="K14" s="4">
        <f>I14+1</f>
        <v>45514</v>
      </c>
      <c r="L14" s="5"/>
      <c r="M14" s="4">
        <f>K14+1</f>
        <v>45515</v>
      </c>
      <c r="N14" s="5"/>
    </row>
    <row r="15" spans="1:14" ht="14.1">
      <c r="A15" s="29" t="s">
        <v>52</v>
      </c>
      <c r="B15" s="20"/>
      <c r="C15" s="29" t="s">
        <v>50</v>
      </c>
      <c r="D15" s="20"/>
      <c r="E15" s="29" t="s">
        <v>50</v>
      </c>
      <c r="F15" s="20"/>
      <c r="G15" s="29" t="s">
        <v>50</v>
      </c>
      <c r="H15" s="20"/>
      <c r="I15" s="29" t="s">
        <v>24</v>
      </c>
      <c r="J15" s="20"/>
      <c r="K15" s="29" t="s">
        <v>24</v>
      </c>
      <c r="L15" s="20"/>
      <c r="M15" s="29" t="s">
        <v>24</v>
      </c>
      <c r="N15" s="20"/>
    </row>
    <row r="16" spans="1:14" ht="14.1">
      <c r="A16" s="27" t="s">
        <v>12</v>
      </c>
      <c r="B16" s="20"/>
      <c r="C16" s="27" t="s">
        <v>12</v>
      </c>
      <c r="D16" s="20"/>
      <c r="E16" s="27" t="s">
        <v>12</v>
      </c>
      <c r="F16" s="20"/>
      <c r="G16" s="27" t="s">
        <v>12</v>
      </c>
      <c r="H16" s="20"/>
      <c r="I16" s="26" t="s">
        <v>42</v>
      </c>
      <c r="J16" s="20"/>
      <c r="K16" s="26" t="s">
        <v>42</v>
      </c>
      <c r="L16" s="20"/>
      <c r="M16" s="26" t="s">
        <v>42</v>
      </c>
      <c r="N16" s="20"/>
    </row>
    <row r="17" spans="1:14" ht="14.1">
      <c r="A17" s="19" t="s">
        <v>9</v>
      </c>
      <c r="B17" s="20"/>
      <c r="C17" s="19" t="s">
        <v>9</v>
      </c>
      <c r="D17" s="20"/>
      <c r="E17" s="19" t="s">
        <v>9</v>
      </c>
      <c r="F17" s="20"/>
      <c r="G17" s="19" t="s">
        <v>9</v>
      </c>
      <c r="H17" s="20"/>
      <c r="I17" s="35" t="s">
        <v>11</v>
      </c>
      <c r="J17" s="20"/>
      <c r="K17" s="35" t="s">
        <v>11</v>
      </c>
      <c r="L17" s="20"/>
      <c r="M17" s="35" t="s">
        <v>11</v>
      </c>
      <c r="N17" s="20"/>
    </row>
    <row r="18" spans="1:14" ht="14.1">
      <c r="A18" s="21" t="s">
        <v>24</v>
      </c>
      <c r="B18" s="20"/>
      <c r="C18" s="21" t="s">
        <v>24</v>
      </c>
      <c r="D18" s="20"/>
      <c r="E18" s="21" t="s">
        <v>24</v>
      </c>
      <c r="F18" s="20"/>
      <c r="G18" s="21" t="s">
        <v>24</v>
      </c>
      <c r="H18" s="20"/>
      <c r="I18" s="21" t="s">
        <v>24</v>
      </c>
      <c r="J18" s="20"/>
      <c r="K18" s="21" t="s">
        <v>24</v>
      </c>
      <c r="L18" s="20"/>
      <c r="M18" s="21" t="s">
        <v>24</v>
      </c>
      <c r="N18" s="20"/>
    </row>
    <row r="19" spans="1:14" ht="14.1">
      <c r="A19" s="56" t="s">
        <v>25</v>
      </c>
      <c r="B19" s="20"/>
      <c r="C19" s="56" t="s">
        <v>25</v>
      </c>
      <c r="D19" s="20"/>
      <c r="E19" s="56" t="s">
        <v>25</v>
      </c>
      <c r="F19" s="20"/>
      <c r="G19" s="56" t="s">
        <v>25</v>
      </c>
      <c r="H19" s="20"/>
      <c r="I19" s="56" t="s">
        <v>25</v>
      </c>
      <c r="J19" s="20"/>
      <c r="K19" s="56" t="s">
        <v>25</v>
      </c>
      <c r="L19" s="20"/>
      <c r="M19" s="56" t="s">
        <v>25</v>
      </c>
      <c r="N19" s="20"/>
    </row>
    <row r="20" spans="1:14" ht="14.1">
      <c r="A20" s="23" t="s">
        <v>97</v>
      </c>
      <c r="B20" s="20"/>
      <c r="C20" s="22" t="s">
        <v>27</v>
      </c>
      <c r="D20" s="20"/>
      <c r="E20" s="23" t="s">
        <v>98</v>
      </c>
      <c r="F20" s="20"/>
      <c r="G20" s="22" t="s">
        <v>17</v>
      </c>
      <c r="H20" s="20"/>
      <c r="I20" s="22" t="s">
        <v>27</v>
      </c>
      <c r="J20" s="20"/>
      <c r="K20" s="22" t="s">
        <v>19</v>
      </c>
      <c r="L20" s="20"/>
      <c r="M20" s="22" t="s">
        <v>19</v>
      </c>
      <c r="N20" s="20"/>
    </row>
    <row r="21" spans="1:14" ht="18" customHeight="1">
      <c r="A21" s="25" t="s">
        <v>30</v>
      </c>
      <c r="B21" s="20"/>
      <c r="C21" s="25" t="s">
        <v>30</v>
      </c>
      <c r="D21" s="20"/>
      <c r="E21" s="25" t="s">
        <v>30</v>
      </c>
      <c r="F21" s="20"/>
      <c r="G21" s="25" t="s">
        <v>29</v>
      </c>
      <c r="H21" s="20"/>
      <c r="I21" s="25" t="s">
        <v>30</v>
      </c>
      <c r="J21" s="20"/>
      <c r="K21" s="25" t="s">
        <v>30</v>
      </c>
      <c r="L21" s="20"/>
      <c r="M21" s="25" t="s">
        <v>30</v>
      </c>
      <c r="N21" s="20"/>
    </row>
    <row r="22" spans="1:14" ht="18" customHeight="1">
      <c r="A22" s="2">
        <f>M14+1</f>
        <v>45516</v>
      </c>
      <c r="B22" s="3"/>
      <c r="C22" s="2">
        <f>A22+1</f>
        <v>45517</v>
      </c>
      <c r="D22" s="3"/>
      <c r="E22" s="2">
        <f>C22+1</f>
        <v>45518</v>
      </c>
      <c r="F22" s="3"/>
      <c r="G22" s="2">
        <f>E22+1</f>
        <v>45519</v>
      </c>
      <c r="H22" s="3"/>
      <c r="I22" s="2">
        <f>G22+1</f>
        <v>45520</v>
      </c>
      <c r="J22" s="3"/>
      <c r="K22" s="4">
        <f>I22+1</f>
        <v>45521</v>
      </c>
      <c r="L22" s="5"/>
      <c r="M22" s="4">
        <f>K22+1</f>
        <v>45522</v>
      </c>
      <c r="N22" s="5"/>
    </row>
    <row r="23" spans="1:14" ht="14.1">
      <c r="A23" s="29" t="s">
        <v>11</v>
      </c>
      <c r="B23" s="20"/>
      <c r="C23" s="29" t="s">
        <v>11</v>
      </c>
      <c r="D23" s="20"/>
      <c r="E23" s="29" t="s">
        <v>11</v>
      </c>
      <c r="F23" s="20"/>
      <c r="G23" s="29" t="s">
        <v>11</v>
      </c>
      <c r="H23" s="20"/>
      <c r="I23" s="29" t="s">
        <v>24</v>
      </c>
      <c r="J23" s="20"/>
      <c r="K23" s="29" t="s">
        <v>24</v>
      </c>
      <c r="L23" s="20"/>
      <c r="M23" s="29" t="s">
        <v>24</v>
      </c>
      <c r="N23" s="20"/>
    </row>
    <row r="24" spans="1:14" ht="14.1">
      <c r="A24" s="27" t="s">
        <v>42</v>
      </c>
      <c r="B24" s="20"/>
      <c r="C24" s="27" t="s">
        <v>42</v>
      </c>
      <c r="D24" s="20"/>
      <c r="E24" s="27" t="s">
        <v>42</v>
      </c>
      <c r="F24" s="20"/>
      <c r="G24" s="27" t="s">
        <v>42</v>
      </c>
      <c r="H24" s="20"/>
      <c r="I24" s="26" t="s">
        <v>54</v>
      </c>
      <c r="J24" s="20"/>
      <c r="K24" s="26" t="s">
        <v>54</v>
      </c>
      <c r="L24" s="20"/>
      <c r="M24" s="26" t="s">
        <v>54</v>
      </c>
      <c r="N24" s="20"/>
    </row>
    <row r="25" spans="1:14" ht="14.1">
      <c r="A25" s="19" t="s">
        <v>59</v>
      </c>
      <c r="B25" s="20"/>
      <c r="C25" s="19" t="s">
        <v>59</v>
      </c>
      <c r="D25" s="20"/>
      <c r="E25" s="19" t="s">
        <v>59</v>
      </c>
      <c r="F25" s="20"/>
      <c r="G25" s="19" t="s">
        <v>59</v>
      </c>
      <c r="H25" s="20"/>
      <c r="I25" s="19" t="s">
        <v>59</v>
      </c>
      <c r="J25" s="20"/>
      <c r="K25" s="35" t="s">
        <v>40</v>
      </c>
      <c r="L25" s="20"/>
      <c r="M25" s="35" t="s">
        <v>40</v>
      </c>
      <c r="N25" s="20"/>
    </row>
    <row r="26" spans="1:14" ht="14.1">
      <c r="A26" s="21" t="s">
        <v>15</v>
      </c>
      <c r="B26" s="20"/>
      <c r="C26" s="21" t="s">
        <v>15</v>
      </c>
      <c r="D26" s="20"/>
      <c r="E26" s="21" t="s">
        <v>15</v>
      </c>
      <c r="F26" s="20"/>
      <c r="G26" s="21" t="s">
        <v>15</v>
      </c>
      <c r="H26" s="20"/>
      <c r="I26" s="21" t="s">
        <v>15</v>
      </c>
      <c r="J26" s="20"/>
      <c r="K26" s="21" t="s">
        <v>15</v>
      </c>
      <c r="L26" s="20"/>
      <c r="M26" s="21" t="s">
        <v>15</v>
      </c>
      <c r="N26" s="20"/>
    </row>
    <row r="27" spans="1:14" ht="14.1">
      <c r="A27" s="56" t="s">
        <v>16</v>
      </c>
      <c r="B27" s="20"/>
      <c r="C27" s="56" t="s">
        <v>16</v>
      </c>
      <c r="D27" s="20"/>
      <c r="E27" s="56" t="s">
        <v>16</v>
      </c>
      <c r="F27" s="20"/>
      <c r="G27" s="56" t="s">
        <v>16</v>
      </c>
      <c r="H27" s="20"/>
      <c r="I27" s="56" t="s">
        <v>16</v>
      </c>
      <c r="J27" s="20"/>
      <c r="K27" s="56" t="s">
        <v>16</v>
      </c>
      <c r="L27" s="20"/>
      <c r="M27" s="56" t="s">
        <v>16</v>
      </c>
      <c r="N27" s="20"/>
    </row>
    <row r="28" spans="1:14" ht="14.1">
      <c r="A28" s="23" t="s">
        <v>71</v>
      </c>
      <c r="B28" s="20"/>
      <c r="C28" s="22" t="s">
        <v>97</v>
      </c>
      <c r="D28" s="20"/>
      <c r="E28" s="23" t="s">
        <v>28</v>
      </c>
      <c r="F28" s="20"/>
      <c r="G28" s="22" t="s">
        <v>17</v>
      </c>
      <c r="H28" s="20"/>
      <c r="I28" s="22" t="s">
        <v>26</v>
      </c>
      <c r="J28" s="20"/>
      <c r="K28" s="22" t="s">
        <v>71</v>
      </c>
      <c r="L28" s="20"/>
      <c r="M28" s="22" t="s">
        <v>19</v>
      </c>
      <c r="N28" s="20"/>
    </row>
    <row r="29" spans="1:14" ht="18" customHeight="1">
      <c r="A29" s="25" t="s">
        <v>99</v>
      </c>
      <c r="B29" s="20"/>
      <c r="C29" s="25" t="s">
        <v>50</v>
      </c>
      <c r="D29" s="20"/>
      <c r="E29" s="25" t="s">
        <v>50</v>
      </c>
      <c r="F29" s="20"/>
      <c r="G29" s="25" t="s">
        <v>63</v>
      </c>
      <c r="H29" s="20"/>
      <c r="I29" s="25" t="s">
        <v>63</v>
      </c>
      <c r="J29" s="20"/>
      <c r="K29" s="25" t="s">
        <v>74</v>
      </c>
      <c r="L29" s="20"/>
      <c r="M29" s="25" t="s">
        <v>21</v>
      </c>
      <c r="N29" s="20"/>
    </row>
    <row r="30" spans="1:14" ht="18" customHeight="1">
      <c r="A30" s="4">
        <f>M22+1</f>
        <v>45523</v>
      </c>
      <c r="B30" s="5"/>
      <c r="C30" s="4">
        <f>A30+1</f>
        <v>45524</v>
      </c>
      <c r="D30" s="5"/>
      <c r="E30" s="4">
        <f>C30+1</f>
        <v>45525</v>
      </c>
      <c r="F30" s="5"/>
      <c r="G30" s="4">
        <f>E30+1</f>
        <v>45526</v>
      </c>
      <c r="H30" s="5"/>
      <c r="I30" s="4">
        <f>G30+1</f>
        <v>45527</v>
      </c>
      <c r="J30" s="5"/>
      <c r="K30" s="4">
        <f>I30+1</f>
        <v>45528</v>
      </c>
      <c r="L30" s="5"/>
      <c r="M30" s="4">
        <f>K30+1</f>
        <v>45529</v>
      </c>
      <c r="N30" s="5"/>
    </row>
    <row r="31" spans="1:14" ht="14.1">
      <c r="A31" s="29" t="s">
        <v>24</v>
      </c>
      <c r="B31" s="20"/>
      <c r="C31" s="29" t="s">
        <v>24</v>
      </c>
      <c r="D31" s="20"/>
      <c r="E31" s="29" t="s">
        <v>24</v>
      </c>
      <c r="F31" s="20"/>
      <c r="G31" s="29" t="s">
        <v>24</v>
      </c>
      <c r="H31" s="20"/>
      <c r="I31" s="44" t="s">
        <v>92</v>
      </c>
      <c r="J31" s="20"/>
      <c r="K31" s="44" t="s">
        <v>9</v>
      </c>
      <c r="L31" s="20"/>
      <c r="M31" s="44" t="s">
        <v>9</v>
      </c>
      <c r="N31" s="20"/>
    </row>
    <row r="32" spans="1:14" ht="14.1">
      <c r="A32" s="27" t="s">
        <v>54</v>
      </c>
      <c r="B32" s="20"/>
      <c r="C32" s="27" t="s">
        <v>54</v>
      </c>
      <c r="D32" s="20"/>
      <c r="E32" s="27" t="s">
        <v>54</v>
      </c>
      <c r="F32" s="20"/>
      <c r="G32" s="27" t="s">
        <v>54</v>
      </c>
      <c r="H32" s="20"/>
      <c r="I32" s="26" t="s">
        <v>16</v>
      </c>
      <c r="J32" s="20"/>
      <c r="K32" s="26" t="s">
        <v>16</v>
      </c>
      <c r="L32" s="20"/>
      <c r="M32" s="26" t="s">
        <v>16</v>
      </c>
      <c r="N32" s="20"/>
    </row>
    <row r="33" spans="1:14" ht="14.1">
      <c r="A33" s="19" t="s">
        <v>9</v>
      </c>
      <c r="B33" s="20"/>
      <c r="C33" s="19" t="s">
        <v>9</v>
      </c>
      <c r="D33" s="20"/>
      <c r="E33" s="19" t="s">
        <v>9</v>
      </c>
      <c r="F33" s="20"/>
      <c r="G33" s="19" t="s">
        <v>9</v>
      </c>
      <c r="H33" s="20"/>
      <c r="I33" s="19" t="s">
        <v>13</v>
      </c>
      <c r="J33" s="20"/>
      <c r="K33" s="35" t="s">
        <v>100</v>
      </c>
      <c r="L33" s="20"/>
      <c r="M33" s="35" t="s">
        <v>100</v>
      </c>
      <c r="N33" s="20"/>
    </row>
    <row r="34" spans="1:14" ht="14.1">
      <c r="A34" s="21" t="s">
        <v>24</v>
      </c>
      <c r="B34" s="20"/>
      <c r="C34" s="21" t="s">
        <v>24</v>
      </c>
      <c r="D34" s="20"/>
      <c r="E34" s="21" t="s">
        <v>89</v>
      </c>
      <c r="F34" s="20"/>
      <c r="G34" s="21" t="s">
        <v>89</v>
      </c>
      <c r="H34" s="20"/>
      <c r="I34" s="21" t="s">
        <v>89</v>
      </c>
      <c r="J34" s="20"/>
      <c r="K34" s="21" t="s">
        <v>89</v>
      </c>
      <c r="L34" s="20"/>
      <c r="M34" s="21" t="s">
        <v>89</v>
      </c>
      <c r="N34" s="20"/>
    </row>
    <row r="35" spans="1:14" ht="14.1">
      <c r="A35" s="56" t="s">
        <v>13</v>
      </c>
      <c r="B35" s="20"/>
      <c r="C35" s="56" t="s">
        <v>13</v>
      </c>
      <c r="D35" s="20"/>
      <c r="E35" s="56" t="s">
        <v>13</v>
      </c>
      <c r="F35" s="20"/>
      <c r="G35" s="56" t="s">
        <v>13</v>
      </c>
      <c r="H35" s="20"/>
      <c r="I35" s="56" t="s">
        <v>13</v>
      </c>
      <c r="J35" s="20"/>
      <c r="K35" s="56" t="s">
        <v>13</v>
      </c>
      <c r="L35" s="20"/>
      <c r="M35" s="56" t="s">
        <v>13</v>
      </c>
      <c r="N35" s="20"/>
    </row>
    <row r="36" spans="1:14" ht="14.1">
      <c r="A36" s="23" t="s">
        <v>27</v>
      </c>
      <c r="B36" s="20"/>
      <c r="C36" s="22" t="s">
        <v>17</v>
      </c>
      <c r="D36" s="20"/>
      <c r="E36" s="23" t="s">
        <v>101</v>
      </c>
      <c r="F36" s="20"/>
      <c r="G36" s="22" t="s">
        <v>17</v>
      </c>
      <c r="H36" s="20"/>
      <c r="I36" s="22" t="s">
        <v>28</v>
      </c>
      <c r="J36" s="20"/>
      <c r="K36" s="22" t="s">
        <v>36</v>
      </c>
      <c r="L36" s="20"/>
      <c r="M36" s="22" t="s">
        <v>36</v>
      </c>
      <c r="N36" s="20"/>
    </row>
    <row r="37" spans="1:14" ht="18" customHeight="1">
      <c r="A37" s="25" t="s">
        <v>50</v>
      </c>
      <c r="B37" s="20"/>
      <c r="C37" s="25" t="s">
        <v>63</v>
      </c>
      <c r="D37" s="20"/>
      <c r="E37" s="25" t="s">
        <v>50</v>
      </c>
      <c r="F37" s="20"/>
      <c r="G37" s="25" t="s">
        <v>63</v>
      </c>
      <c r="H37" s="20"/>
      <c r="I37" s="25" t="s">
        <v>50</v>
      </c>
      <c r="J37" s="20"/>
      <c r="K37" s="25" t="s">
        <v>50</v>
      </c>
      <c r="L37" s="20"/>
      <c r="M37" s="25" t="s">
        <v>50</v>
      </c>
      <c r="N37" s="20"/>
    </row>
    <row r="38" spans="1:14" ht="18" customHeight="1">
      <c r="A38" s="4">
        <f>IF(M30="","",IF(MONTH(M30+1)&lt;&gt;MONTH($A$1),"",M30+1))</f>
        <v>45530</v>
      </c>
      <c r="B38" s="5"/>
      <c r="C38" s="4">
        <f>IF(A38="","",IF(MONTH(A38+1)&lt;&gt;MONTH($A$1),"",A38+1))</f>
        <v>45531</v>
      </c>
      <c r="D38" s="5"/>
      <c r="E38" s="4">
        <f>IF(C38="","",IF(MONTH(C38+1)&lt;&gt;MONTH($A$1),"",C38+1))</f>
        <v>45532</v>
      </c>
      <c r="F38" s="5"/>
      <c r="G38" s="4">
        <f>IF(E38="","",IF(MONTH(E38+1)&lt;&gt;MONTH($A$1),"",E38+1))</f>
        <v>45533</v>
      </c>
      <c r="H38" s="5"/>
      <c r="I38" s="4">
        <f>IF(G38="","",IF(MONTH(G38+1)&lt;&gt;MONTH($A$1),"",G38+1))</f>
        <v>45534</v>
      </c>
      <c r="J38" s="5"/>
      <c r="K38" s="4">
        <f>IF(I38="","",IF(MONTH(I38+1)&lt;&gt;MONTH($A$1),"",I38+1))</f>
        <v>45535</v>
      </c>
      <c r="L38" s="5"/>
      <c r="M38" s="4" t="str">
        <f>IF(K38="","",IF(MONTH(K38+1)&lt;&gt;MONTH($A$1),"",K38+1))</f>
        <v/>
      </c>
      <c r="N38" s="5"/>
    </row>
    <row r="39" spans="1:14" ht="14.1">
      <c r="A39" s="29" t="s">
        <v>9</v>
      </c>
      <c r="B39" s="20"/>
      <c r="C39" s="29" t="s">
        <v>9</v>
      </c>
      <c r="D39" s="20"/>
      <c r="E39" s="29" t="s">
        <v>9</v>
      </c>
      <c r="F39" s="20"/>
      <c r="G39" s="29" t="s">
        <v>9</v>
      </c>
      <c r="H39" s="20"/>
      <c r="I39" s="44" t="s">
        <v>52</v>
      </c>
      <c r="J39" s="20"/>
      <c r="K39" s="44" t="s">
        <v>50</v>
      </c>
      <c r="L39" s="20"/>
      <c r="M39" s="44" t="s">
        <v>50</v>
      </c>
      <c r="N39" s="20"/>
    </row>
    <row r="40" spans="1:14" ht="14.1">
      <c r="A40" s="27" t="s">
        <v>16</v>
      </c>
      <c r="B40" s="20"/>
      <c r="C40" s="27" t="s">
        <v>16</v>
      </c>
      <c r="D40" s="20"/>
      <c r="E40" s="27" t="s">
        <v>16</v>
      </c>
      <c r="F40" s="20"/>
      <c r="G40" s="27" t="s">
        <v>16</v>
      </c>
      <c r="H40" s="20"/>
      <c r="I40" s="26" t="s">
        <v>25</v>
      </c>
      <c r="J40" s="20"/>
      <c r="K40" s="26" t="s">
        <v>25</v>
      </c>
      <c r="L40" s="20"/>
      <c r="M40" s="26" t="s">
        <v>25</v>
      </c>
      <c r="N40" s="20"/>
    </row>
    <row r="41" spans="1:14" ht="14.1">
      <c r="A41" s="19" t="s">
        <v>13</v>
      </c>
      <c r="B41" s="20"/>
      <c r="C41" s="19" t="s">
        <v>13</v>
      </c>
      <c r="D41" s="20"/>
      <c r="E41" s="19" t="s">
        <v>13</v>
      </c>
      <c r="F41" s="20"/>
      <c r="G41" s="19" t="s">
        <v>13</v>
      </c>
      <c r="H41" s="20"/>
      <c r="I41" s="35" t="s">
        <v>9</v>
      </c>
      <c r="J41" s="20"/>
      <c r="K41" s="35" t="s">
        <v>53</v>
      </c>
      <c r="L41" s="20"/>
      <c r="M41" s="35" t="s">
        <v>53</v>
      </c>
      <c r="N41" s="20"/>
    </row>
    <row r="42" spans="1:14" ht="14.1">
      <c r="A42" s="21" t="s">
        <v>89</v>
      </c>
      <c r="B42" s="20"/>
      <c r="C42" s="21" t="s">
        <v>89</v>
      </c>
      <c r="D42" s="20"/>
      <c r="E42" s="21" t="s">
        <v>89</v>
      </c>
      <c r="F42" s="20"/>
      <c r="G42" s="21" t="s">
        <v>89</v>
      </c>
      <c r="H42" s="20"/>
      <c r="I42" s="21" t="s">
        <v>89</v>
      </c>
      <c r="J42" s="20"/>
      <c r="K42" s="30" t="s">
        <v>15</v>
      </c>
      <c r="L42" s="20"/>
      <c r="M42" s="30" t="s">
        <v>15</v>
      </c>
      <c r="N42" s="20"/>
    </row>
    <row r="43" spans="1:14" ht="14.1">
      <c r="A43" s="56" t="s">
        <v>25</v>
      </c>
      <c r="B43" s="20"/>
      <c r="C43" s="56" t="s">
        <v>25</v>
      </c>
      <c r="D43" s="20"/>
      <c r="E43" s="56" t="s">
        <v>25</v>
      </c>
      <c r="F43" s="20"/>
      <c r="G43" s="56" t="s">
        <v>25</v>
      </c>
      <c r="H43" s="20"/>
      <c r="I43" s="57" t="s">
        <v>16</v>
      </c>
      <c r="J43" s="20"/>
      <c r="K43" s="57" t="s">
        <v>16</v>
      </c>
      <c r="L43" s="20"/>
      <c r="M43" s="57" t="s">
        <v>16</v>
      </c>
      <c r="N43" s="20"/>
    </row>
    <row r="44" spans="1:14" ht="14.1">
      <c r="A44" s="23" t="s">
        <v>28</v>
      </c>
      <c r="B44" s="20"/>
      <c r="C44" s="22" t="s">
        <v>17</v>
      </c>
      <c r="D44" s="20"/>
      <c r="E44" s="23" t="s">
        <v>28</v>
      </c>
      <c r="F44" s="20"/>
      <c r="G44" s="22" t="s">
        <v>26</v>
      </c>
      <c r="H44" s="20"/>
      <c r="I44" s="22" t="s">
        <v>17</v>
      </c>
      <c r="J44" s="20"/>
      <c r="K44" s="22" t="s">
        <v>26</v>
      </c>
      <c r="L44" s="20"/>
      <c r="M44" s="22" t="s">
        <v>17</v>
      </c>
      <c r="N44" s="20"/>
    </row>
    <row r="45" spans="1:14" ht="18" customHeight="1">
      <c r="A45" s="25" t="s">
        <v>30</v>
      </c>
      <c r="B45" s="20"/>
      <c r="C45" s="25" t="s">
        <v>29</v>
      </c>
      <c r="D45" s="20"/>
      <c r="E45" s="25" t="s">
        <v>30</v>
      </c>
      <c r="F45" s="20"/>
      <c r="G45" s="25" t="s">
        <v>29</v>
      </c>
      <c r="H45" s="20"/>
      <c r="I45" s="25" t="s">
        <v>29</v>
      </c>
      <c r="J45" s="20"/>
      <c r="K45" s="25" t="s">
        <v>41</v>
      </c>
      <c r="L45" s="20"/>
      <c r="M45" s="25" t="s">
        <v>41</v>
      </c>
      <c r="N45" s="20"/>
    </row>
    <row r="46" spans="1:14" ht="18" customHeight="1">
      <c r="A46" s="2" t="str">
        <f>IF(M38="","",IF(MONTH(M38+1)&lt;&gt;MONTH($A$1),"",M38+1))</f>
        <v/>
      </c>
      <c r="B46" s="3"/>
      <c r="C46" s="2" t="str">
        <f>IF(A46="","",IF(MONTH(A46+1)&lt;&gt;MONTH($A$1),"",A46+1))</f>
        <v/>
      </c>
      <c r="D46" s="3"/>
      <c r="E46" s="46" t="s">
        <v>22</v>
      </c>
      <c r="F46" s="47"/>
      <c r="G46" s="48"/>
      <c r="H46" s="47"/>
      <c r="I46" s="47"/>
      <c r="J46" s="47"/>
      <c r="K46" s="47"/>
      <c r="L46" s="47"/>
      <c r="M46" s="47"/>
      <c r="N46" s="49"/>
    </row>
    <row r="47" spans="1:14" ht="14.1">
      <c r="A47" s="29" t="s">
        <v>49</v>
      </c>
      <c r="B47" s="20"/>
      <c r="C47" s="29" t="s">
        <v>50</v>
      </c>
      <c r="D47" s="20"/>
      <c r="E47" s="45" t="s">
        <v>102</v>
      </c>
      <c r="F47" s="37"/>
      <c r="G47" s="37"/>
      <c r="H47" s="37"/>
      <c r="I47" s="37"/>
      <c r="J47" s="37"/>
      <c r="K47" s="37"/>
      <c r="L47" s="37"/>
      <c r="M47" s="37"/>
      <c r="N47" s="20"/>
    </row>
    <row r="48" spans="1:14" ht="14.1">
      <c r="A48" s="27" t="s">
        <v>25</v>
      </c>
      <c r="B48" s="20"/>
      <c r="C48" s="26" t="s">
        <v>25</v>
      </c>
      <c r="D48" s="20"/>
      <c r="E48" s="45" t="s">
        <v>103</v>
      </c>
      <c r="F48" s="37"/>
      <c r="G48" s="37"/>
      <c r="H48" s="37"/>
      <c r="I48" s="37"/>
      <c r="J48" s="37"/>
      <c r="K48" s="37"/>
      <c r="L48" s="37"/>
      <c r="M48" s="37"/>
      <c r="N48" s="20"/>
    </row>
    <row r="49" spans="1:14" ht="14.1">
      <c r="A49" s="19" t="s">
        <v>31</v>
      </c>
      <c r="B49" s="20"/>
      <c r="C49" s="19" t="s">
        <v>9</v>
      </c>
      <c r="D49" s="20"/>
      <c r="E49" s="45" t="s">
        <v>104</v>
      </c>
      <c r="F49" s="37"/>
      <c r="G49" s="37"/>
      <c r="H49" s="37"/>
      <c r="I49" s="37"/>
      <c r="J49" s="37"/>
      <c r="K49" s="37"/>
      <c r="L49" s="37"/>
      <c r="M49" s="37"/>
      <c r="N49" s="20"/>
    </row>
    <row r="50" spans="1:14" ht="14.1">
      <c r="A50" s="21" t="s">
        <v>15</v>
      </c>
      <c r="B50" s="20"/>
      <c r="C50" s="30" t="s">
        <v>24</v>
      </c>
      <c r="D50" s="20"/>
      <c r="E50" s="6"/>
      <c r="F50" s="7"/>
      <c r="G50" s="7"/>
      <c r="H50" s="7"/>
      <c r="I50" s="7"/>
      <c r="J50" s="7"/>
      <c r="K50" s="7"/>
      <c r="L50" s="7"/>
      <c r="M50" s="7"/>
      <c r="N50" s="8"/>
    </row>
    <row r="51" spans="1:14" ht="14.1">
      <c r="A51" s="56" t="s">
        <v>16</v>
      </c>
      <c r="B51" s="20"/>
      <c r="C51" s="56" t="s">
        <v>16</v>
      </c>
      <c r="D51" s="20"/>
      <c r="E51" s="6"/>
      <c r="F51" s="7"/>
      <c r="G51" s="7"/>
      <c r="H51" s="7"/>
      <c r="I51" s="7"/>
      <c r="J51" s="7"/>
      <c r="K51" s="7"/>
      <c r="L51" s="7"/>
      <c r="M51" s="7"/>
      <c r="N51" s="8"/>
    </row>
    <row r="52" spans="1:14" ht="14.1">
      <c r="A52" s="23" t="s">
        <v>27</v>
      </c>
      <c r="B52" s="20"/>
      <c r="C52" s="22" t="s">
        <v>27</v>
      </c>
      <c r="D52" s="20"/>
      <c r="E52" s="6"/>
      <c r="F52" s="7"/>
      <c r="G52" s="7"/>
      <c r="H52" s="7"/>
      <c r="I52" s="7"/>
      <c r="J52" s="7"/>
      <c r="K52" s="7"/>
      <c r="L52" s="7"/>
      <c r="M52" s="7"/>
      <c r="N52" s="8"/>
    </row>
    <row r="53" spans="1:14" ht="14.1">
      <c r="A53" s="25" t="s">
        <v>30</v>
      </c>
      <c r="B53" s="20"/>
      <c r="C53" s="25" t="s">
        <v>30</v>
      </c>
      <c r="D53" s="20"/>
      <c r="E53" s="32" t="s">
        <v>23</v>
      </c>
      <c r="F53" s="33"/>
      <c r="G53" s="33"/>
      <c r="H53" s="33"/>
      <c r="I53" s="34" t="str">
        <f>HYPERLINK("https://www.vertex42.com/calendars/academic-calendar.html","https://www.vertex42.com/calendars/academic-calendar.html")</f>
        <v>https://www.vertex42.com/calendars/academic-calendar.html</v>
      </c>
      <c r="J53" s="33"/>
      <c r="K53" s="33"/>
      <c r="L53" s="33"/>
      <c r="M53" s="33"/>
      <c r="N53" s="24"/>
    </row>
  </sheetData>
  <mergeCells count="283">
    <mergeCell ref="C42:D42"/>
    <mergeCell ref="E42:F42"/>
    <mergeCell ref="G42:H42"/>
    <mergeCell ref="I42:J42"/>
    <mergeCell ref="K42:L42"/>
    <mergeCell ref="M42:N42"/>
    <mergeCell ref="A42:B42"/>
    <mergeCell ref="C43:D43"/>
    <mergeCell ref="E43:F43"/>
    <mergeCell ref="G43:H43"/>
    <mergeCell ref="I43:J43"/>
    <mergeCell ref="K43:L43"/>
    <mergeCell ref="M43:N43"/>
    <mergeCell ref="A43:B43"/>
    <mergeCell ref="C40:D40"/>
    <mergeCell ref="E40:F40"/>
    <mergeCell ref="G40:H40"/>
    <mergeCell ref="I40:J40"/>
    <mergeCell ref="K40:L40"/>
    <mergeCell ref="M40:N40"/>
    <mergeCell ref="A40:B40"/>
    <mergeCell ref="C41:D41"/>
    <mergeCell ref="E41:F41"/>
    <mergeCell ref="G41:H41"/>
    <mergeCell ref="I41:J41"/>
    <mergeCell ref="K41:L41"/>
    <mergeCell ref="M41:N41"/>
    <mergeCell ref="A41:B41"/>
    <mergeCell ref="C35:D35"/>
    <mergeCell ref="E35:F35"/>
    <mergeCell ref="G35:H35"/>
    <mergeCell ref="I35:J35"/>
    <mergeCell ref="K35:L35"/>
    <mergeCell ref="M35:N35"/>
    <mergeCell ref="A35:B35"/>
    <mergeCell ref="C36:D36"/>
    <mergeCell ref="E36:F36"/>
    <mergeCell ref="G36:H36"/>
    <mergeCell ref="I36:J36"/>
    <mergeCell ref="K36:L36"/>
    <mergeCell ref="M36:N36"/>
    <mergeCell ref="A36:B36"/>
    <mergeCell ref="C33:D33"/>
    <mergeCell ref="E33:F33"/>
    <mergeCell ref="G33:H33"/>
    <mergeCell ref="I33:J33"/>
    <mergeCell ref="K33:L33"/>
    <mergeCell ref="M33:N33"/>
    <mergeCell ref="A33:B33"/>
    <mergeCell ref="C34:D34"/>
    <mergeCell ref="E34:F34"/>
    <mergeCell ref="G34:H34"/>
    <mergeCell ref="I34:J34"/>
    <mergeCell ref="K34:L34"/>
    <mergeCell ref="M34:N34"/>
    <mergeCell ref="A34:B34"/>
    <mergeCell ref="C31:D31"/>
    <mergeCell ref="E31:F31"/>
    <mergeCell ref="G31:H31"/>
    <mergeCell ref="I31:J31"/>
    <mergeCell ref="K31:L31"/>
    <mergeCell ref="M31:N31"/>
    <mergeCell ref="A31:B31"/>
    <mergeCell ref="C32:D32"/>
    <mergeCell ref="E32:F32"/>
    <mergeCell ref="G32:H32"/>
    <mergeCell ref="I32:J32"/>
    <mergeCell ref="K32:L32"/>
    <mergeCell ref="M32:N32"/>
    <mergeCell ref="A32:B32"/>
    <mergeCell ref="C28:D28"/>
    <mergeCell ref="E28:F28"/>
    <mergeCell ref="G28:H28"/>
    <mergeCell ref="I28:J28"/>
    <mergeCell ref="K28:L28"/>
    <mergeCell ref="M28:N28"/>
    <mergeCell ref="A28:B28"/>
    <mergeCell ref="C29:D29"/>
    <mergeCell ref="E29:F29"/>
    <mergeCell ref="G29:H29"/>
    <mergeCell ref="I29:J29"/>
    <mergeCell ref="K29:L29"/>
    <mergeCell ref="M29:N29"/>
    <mergeCell ref="A29:B29"/>
    <mergeCell ref="C21:D21"/>
    <mergeCell ref="E21:F21"/>
    <mergeCell ref="G21:H21"/>
    <mergeCell ref="I21:J21"/>
    <mergeCell ref="K21:L21"/>
    <mergeCell ref="M21:N21"/>
    <mergeCell ref="A21:B21"/>
    <mergeCell ref="C23:D23"/>
    <mergeCell ref="E23:F23"/>
    <mergeCell ref="G23:H23"/>
    <mergeCell ref="I23:J23"/>
    <mergeCell ref="K23:L23"/>
    <mergeCell ref="M23:N23"/>
    <mergeCell ref="A23:B23"/>
    <mergeCell ref="A52:B52"/>
    <mergeCell ref="C52:D52"/>
    <mergeCell ref="A53:B53"/>
    <mergeCell ref="C53:D53"/>
    <mergeCell ref="E53:H53"/>
    <mergeCell ref="I53:N53"/>
    <mergeCell ref="A49:B49"/>
    <mergeCell ref="C49:D49"/>
    <mergeCell ref="E49:N49"/>
    <mergeCell ref="A50:B50"/>
    <mergeCell ref="C50:D50"/>
    <mergeCell ref="A51:B51"/>
    <mergeCell ref="C51:D51"/>
    <mergeCell ref="C8:D8"/>
    <mergeCell ref="E8:F8"/>
    <mergeCell ref="G8:H8"/>
    <mergeCell ref="I8:J8"/>
    <mergeCell ref="K8:L8"/>
    <mergeCell ref="M8:N8"/>
    <mergeCell ref="A8:B8"/>
    <mergeCell ref="C9:D9"/>
    <mergeCell ref="E9:F9"/>
    <mergeCell ref="G9:H9"/>
    <mergeCell ref="I9:J9"/>
    <mergeCell ref="K9:L9"/>
    <mergeCell ref="M9:N9"/>
    <mergeCell ref="A9:B9"/>
    <mergeCell ref="C5:D5"/>
    <mergeCell ref="E5:F5"/>
    <mergeCell ref="G5:H5"/>
    <mergeCell ref="I5:J5"/>
    <mergeCell ref="K5:L5"/>
    <mergeCell ref="M5:N5"/>
    <mergeCell ref="A5:B5"/>
    <mergeCell ref="C7:D7"/>
    <mergeCell ref="E7:F7"/>
    <mergeCell ref="G7:H7"/>
    <mergeCell ref="I7:J7"/>
    <mergeCell ref="K7:L7"/>
    <mergeCell ref="M7:N7"/>
    <mergeCell ref="A7:B7"/>
    <mergeCell ref="K3:L3"/>
    <mergeCell ref="M3:N3"/>
    <mergeCell ref="A1:N1"/>
    <mergeCell ref="A2:N2"/>
    <mergeCell ref="C3:D3"/>
    <mergeCell ref="E3:F3"/>
    <mergeCell ref="G3:H3"/>
    <mergeCell ref="I3:J3"/>
    <mergeCell ref="A4:N4"/>
    <mergeCell ref="A3:B3"/>
    <mergeCell ref="C48:D48"/>
    <mergeCell ref="E48:N48"/>
    <mergeCell ref="E45:F45"/>
    <mergeCell ref="E46:F46"/>
    <mergeCell ref="G46:N46"/>
    <mergeCell ref="A47:B47"/>
    <mergeCell ref="C47:D47"/>
    <mergeCell ref="E47:N47"/>
    <mergeCell ref="A48:B48"/>
    <mergeCell ref="C44:D44"/>
    <mergeCell ref="E44:F44"/>
    <mergeCell ref="G44:H44"/>
    <mergeCell ref="I44:J44"/>
    <mergeCell ref="K44:L44"/>
    <mergeCell ref="M44:N44"/>
    <mergeCell ref="A44:B44"/>
    <mergeCell ref="A45:B45"/>
    <mergeCell ref="C45:D45"/>
    <mergeCell ref="G45:H45"/>
    <mergeCell ref="I45:J45"/>
    <mergeCell ref="K45:L45"/>
    <mergeCell ref="M45:N45"/>
    <mergeCell ref="C37:D37"/>
    <mergeCell ref="E37:F37"/>
    <mergeCell ref="G37:H37"/>
    <mergeCell ref="I37:J37"/>
    <mergeCell ref="K37:L37"/>
    <mergeCell ref="M37:N37"/>
    <mergeCell ref="A37:B37"/>
    <mergeCell ref="C39:D39"/>
    <mergeCell ref="E39:F39"/>
    <mergeCell ref="G39:H39"/>
    <mergeCell ref="I39:J39"/>
    <mergeCell ref="K39:L39"/>
    <mergeCell ref="M39:N39"/>
    <mergeCell ref="A39:B39"/>
    <mergeCell ref="C26:D26"/>
    <mergeCell ref="E26:F26"/>
    <mergeCell ref="G26:H26"/>
    <mergeCell ref="I26:J26"/>
    <mergeCell ref="K26:L26"/>
    <mergeCell ref="M26:N26"/>
    <mergeCell ref="A26:B26"/>
    <mergeCell ref="C27:D27"/>
    <mergeCell ref="E27:F27"/>
    <mergeCell ref="G27:H27"/>
    <mergeCell ref="I27:J27"/>
    <mergeCell ref="K27:L27"/>
    <mergeCell ref="M27:N27"/>
    <mergeCell ref="A27:B27"/>
    <mergeCell ref="C24:D24"/>
    <mergeCell ref="E24:F24"/>
    <mergeCell ref="G24:H24"/>
    <mergeCell ref="I24:J24"/>
    <mergeCell ref="K24:L24"/>
    <mergeCell ref="M24:N24"/>
    <mergeCell ref="A24:B24"/>
    <mergeCell ref="C25:D25"/>
    <mergeCell ref="E25:F25"/>
    <mergeCell ref="G25:H25"/>
    <mergeCell ref="I25:J25"/>
    <mergeCell ref="K25:L25"/>
    <mergeCell ref="M25:N25"/>
    <mergeCell ref="A25:B25"/>
    <mergeCell ref="C19:D19"/>
    <mergeCell ref="E19:F19"/>
    <mergeCell ref="G19:H19"/>
    <mergeCell ref="I19:J19"/>
    <mergeCell ref="K19:L19"/>
    <mergeCell ref="M19:N19"/>
    <mergeCell ref="A19:B19"/>
    <mergeCell ref="C20:D20"/>
    <mergeCell ref="E20:F20"/>
    <mergeCell ref="G20:H20"/>
    <mergeCell ref="I20:J20"/>
    <mergeCell ref="K20:L20"/>
    <mergeCell ref="M20:N20"/>
    <mergeCell ref="A20:B20"/>
    <mergeCell ref="C17:D17"/>
    <mergeCell ref="E17:F17"/>
    <mergeCell ref="G17:H17"/>
    <mergeCell ref="I17:J17"/>
    <mergeCell ref="K17:L17"/>
    <mergeCell ref="M17:N17"/>
    <mergeCell ref="A17:B17"/>
    <mergeCell ref="C18:D18"/>
    <mergeCell ref="E18:F18"/>
    <mergeCell ref="G18:H18"/>
    <mergeCell ref="I18:J18"/>
    <mergeCell ref="K18:L18"/>
    <mergeCell ref="M18:N18"/>
    <mergeCell ref="A18:B18"/>
    <mergeCell ref="C15:D15"/>
    <mergeCell ref="E15:F15"/>
    <mergeCell ref="G15:H15"/>
    <mergeCell ref="I15:J15"/>
    <mergeCell ref="K15:L15"/>
    <mergeCell ref="M15:N15"/>
    <mergeCell ref="A15:B15"/>
    <mergeCell ref="C16:D16"/>
    <mergeCell ref="E16:F16"/>
    <mergeCell ref="G16:H16"/>
    <mergeCell ref="I16:J16"/>
    <mergeCell ref="K16:L16"/>
    <mergeCell ref="M16:N16"/>
    <mergeCell ref="A16:B16"/>
    <mergeCell ref="C12:D12"/>
    <mergeCell ref="E12:F12"/>
    <mergeCell ref="G12:H12"/>
    <mergeCell ref="I12:J12"/>
    <mergeCell ref="K12:L12"/>
    <mergeCell ref="M12:N12"/>
    <mergeCell ref="A12:B12"/>
    <mergeCell ref="C13:D13"/>
    <mergeCell ref="E13:F13"/>
    <mergeCell ref="G13:H13"/>
    <mergeCell ref="I13:J13"/>
    <mergeCell ref="K13:L13"/>
    <mergeCell ref="M13:N13"/>
    <mergeCell ref="A13:B13"/>
    <mergeCell ref="C10:D10"/>
    <mergeCell ref="E10:F10"/>
    <mergeCell ref="G10:H10"/>
    <mergeCell ref="I10:J10"/>
    <mergeCell ref="K10:L10"/>
    <mergeCell ref="M10:N10"/>
    <mergeCell ref="A10:B10"/>
    <mergeCell ref="C11:D11"/>
    <mergeCell ref="E11:F11"/>
    <mergeCell ref="G11:H11"/>
    <mergeCell ref="I11:J11"/>
    <mergeCell ref="K11:L11"/>
    <mergeCell ref="M11:N11"/>
    <mergeCell ref="A11:B11"/>
  </mergeCells>
  <printOptions horizontalCentered="1" gridLines="1"/>
  <pageMargins left="0.25" right="0.25" top="0.5" bottom="0.5" header="0" footer="0"/>
  <pageSetup pageOrder="overThenDown" orientation="landscape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1:N53"/>
  <sheetViews>
    <sheetView showGridLines="0" topLeftCell="A2" workbookViewId="0"/>
  </sheetViews>
  <sheetFormatPr defaultColWidth="12.5703125" defaultRowHeight="12.75" customHeight="1"/>
  <cols>
    <col min="1" max="1" width="3.85546875" customWidth="1"/>
    <col min="2" max="2" width="13.42578125" customWidth="1"/>
    <col min="3" max="3" width="3.85546875" customWidth="1"/>
    <col min="4" max="4" width="13.42578125" customWidth="1"/>
    <col min="5" max="5" width="3.85546875" customWidth="1"/>
    <col min="6" max="6" width="13.42578125" customWidth="1"/>
    <col min="7" max="7" width="3.85546875" customWidth="1"/>
    <col min="8" max="8" width="13.42578125" customWidth="1"/>
    <col min="9" max="9" width="3.85546875" customWidth="1"/>
    <col min="10" max="10" width="13.42578125" customWidth="1"/>
    <col min="11" max="11" width="3.85546875" customWidth="1"/>
    <col min="12" max="12" width="13.42578125" customWidth="1"/>
    <col min="13" max="13" width="3.85546875" customWidth="1"/>
    <col min="14" max="14" width="13.42578125" customWidth="1"/>
  </cols>
  <sheetData>
    <row r="1" spans="1:14" ht="18" hidden="1" customHeight="1">
      <c r="A1" s="52">
        <f>EDATE('©'!A17,14)</f>
        <v>45536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4" ht="18" customHeight="1">
      <c r="A2" s="39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1:14" ht="18" customHeight="1">
      <c r="A3" s="29" t="s">
        <v>2</v>
      </c>
      <c r="B3" s="37"/>
      <c r="C3" s="27" t="s">
        <v>3</v>
      </c>
      <c r="D3" s="37"/>
      <c r="E3" s="19" t="s">
        <v>4</v>
      </c>
      <c r="F3" s="37"/>
      <c r="G3" s="21" t="s">
        <v>5</v>
      </c>
      <c r="H3" s="37"/>
      <c r="I3" s="56" t="s">
        <v>6</v>
      </c>
      <c r="J3" s="37"/>
      <c r="K3" s="23" t="s">
        <v>7</v>
      </c>
      <c r="L3" s="37"/>
      <c r="M3" s="25" t="s">
        <v>8</v>
      </c>
      <c r="N3" s="37"/>
    </row>
    <row r="4" spans="1:14" ht="60.75" customHeight="1">
      <c r="A4" s="42" t="str">
        <f>UPPER(TEXT(A1,"mmmm yyyy"))</f>
        <v>SEPTEMBER 2024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</row>
    <row r="5" spans="1:14" ht="15" customHeight="1">
      <c r="A5" s="40">
        <f>A14</f>
        <v>45537</v>
      </c>
      <c r="B5" s="41"/>
      <c r="C5" s="40">
        <f>C14</f>
        <v>45538</v>
      </c>
      <c r="D5" s="41"/>
      <c r="E5" s="40">
        <f>E14</f>
        <v>45539</v>
      </c>
      <c r="F5" s="41"/>
      <c r="G5" s="40">
        <f>G14</f>
        <v>45540</v>
      </c>
      <c r="H5" s="41"/>
      <c r="I5" s="40">
        <f>I14</f>
        <v>45541</v>
      </c>
      <c r="J5" s="41"/>
      <c r="K5" s="40">
        <f>K14</f>
        <v>45542</v>
      </c>
      <c r="L5" s="41"/>
      <c r="M5" s="40">
        <f>M14</f>
        <v>45543</v>
      </c>
      <c r="N5" s="41"/>
    </row>
    <row r="6" spans="1:14" ht="18" customHeight="1">
      <c r="A6" s="2" t="str">
        <f>IF(WEEKDAY($A$1,1)=startday,$A$1,"")</f>
        <v/>
      </c>
      <c r="B6" s="3"/>
      <c r="C6" s="2" t="str">
        <f>IF(A6="",IF(WEEKDAY($A$1,1)=MOD(startday,7)+1,$A$1,""),A6+1)</f>
        <v/>
      </c>
      <c r="D6" s="3"/>
      <c r="E6" s="2" t="str">
        <f>IF(C6="",IF(WEEKDAY($A$1,1)=MOD(startday,7)+2,$A$1,""),C6+1)</f>
        <v/>
      </c>
      <c r="F6" s="3"/>
      <c r="G6" s="2" t="str">
        <f>IF(E6="",IF(WEEKDAY($A$1,1)=MOD(startday,7)+3,$A$1,""),E6+1)</f>
        <v/>
      </c>
      <c r="H6" s="3"/>
      <c r="I6" s="2" t="str">
        <f>IF(G6="",IF(WEEKDAY($A$1,1)=MOD(startday,7)+4,$A$1,""),G6+1)</f>
        <v/>
      </c>
      <c r="J6" s="3"/>
      <c r="K6" s="4" t="str">
        <f>IF(I6="",IF(WEEKDAY($A$1,1)=MOD(startday,7)+5,$A$1,""),I6+1)</f>
        <v/>
      </c>
      <c r="L6" s="5"/>
      <c r="M6" s="4">
        <f>IF(K6="",IF(WEEKDAY($A$1,1)=MOD(startday+5,7)+1,$A$1,""),K6+1)</f>
        <v>45536</v>
      </c>
      <c r="N6" s="5"/>
    </row>
    <row r="7" spans="1:14" ht="14.1">
      <c r="A7" s="29"/>
      <c r="B7" s="20"/>
      <c r="C7" s="44"/>
      <c r="D7" s="20"/>
      <c r="E7" s="29" t="s">
        <v>50</v>
      </c>
      <c r="F7" s="20"/>
      <c r="G7" s="29" t="s">
        <v>50</v>
      </c>
      <c r="H7" s="20"/>
      <c r="I7" s="44" t="s">
        <v>105</v>
      </c>
      <c r="J7" s="20"/>
      <c r="K7" s="44" t="s">
        <v>105</v>
      </c>
      <c r="L7" s="20"/>
      <c r="M7" s="44" t="s">
        <v>105</v>
      </c>
      <c r="N7" s="20"/>
    </row>
    <row r="8" spans="1:14" ht="14.1">
      <c r="A8" s="27"/>
      <c r="B8" s="20"/>
      <c r="C8" s="26"/>
      <c r="D8" s="20"/>
      <c r="E8" s="26" t="s">
        <v>25</v>
      </c>
      <c r="F8" s="20"/>
      <c r="G8" s="26" t="s">
        <v>25</v>
      </c>
      <c r="H8" s="20"/>
      <c r="I8" s="26" t="s">
        <v>51</v>
      </c>
      <c r="J8" s="20"/>
      <c r="K8" s="26" t="s">
        <v>51</v>
      </c>
      <c r="L8" s="20"/>
      <c r="M8" s="26" t="s">
        <v>51</v>
      </c>
      <c r="N8" s="20"/>
    </row>
    <row r="9" spans="1:14" ht="14.1">
      <c r="A9" s="19"/>
      <c r="B9" s="20"/>
      <c r="C9" s="35"/>
      <c r="D9" s="20"/>
      <c r="E9" s="19" t="s">
        <v>9</v>
      </c>
      <c r="F9" s="20"/>
      <c r="G9" s="19" t="s">
        <v>9</v>
      </c>
      <c r="H9" s="20"/>
      <c r="I9" s="19" t="s">
        <v>13</v>
      </c>
      <c r="J9" s="20"/>
      <c r="K9" s="19" t="s">
        <v>11</v>
      </c>
      <c r="L9" s="20"/>
      <c r="M9" s="19" t="s">
        <v>11</v>
      </c>
      <c r="N9" s="20"/>
    </row>
    <row r="10" spans="1:14" ht="14.1">
      <c r="A10" s="21"/>
      <c r="B10" s="20"/>
      <c r="C10" s="30"/>
      <c r="D10" s="20"/>
      <c r="E10" s="30" t="s">
        <v>24</v>
      </c>
      <c r="F10" s="20"/>
      <c r="G10" s="30" t="s">
        <v>24</v>
      </c>
      <c r="H10" s="20"/>
      <c r="I10" s="30" t="s">
        <v>24</v>
      </c>
      <c r="J10" s="20"/>
      <c r="K10" s="30" t="s">
        <v>24</v>
      </c>
      <c r="L10" s="20"/>
      <c r="M10" s="30" t="s">
        <v>24</v>
      </c>
      <c r="N10" s="20"/>
    </row>
    <row r="11" spans="1:14" ht="14.1">
      <c r="A11" s="56"/>
      <c r="B11" s="20"/>
      <c r="C11" s="57"/>
      <c r="D11" s="20"/>
      <c r="E11" s="57" t="s">
        <v>16</v>
      </c>
      <c r="F11" s="20"/>
      <c r="G11" s="57" t="s">
        <v>16</v>
      </c>
      <c r="H11" s="20"/>
      <c r="I11" s="57" t="s">
        <v>16</v>
      </c>
      <c r="J11" s="20"/>
      <c r="K11" s="57" t="s">
        <v>16</v>
      </c>
      <c r="L11" s="20"/>
      <c r="M11" s="57" t="s">
        <v>16</v>
      </c>
      <c r="N11" s="20"/>
    </row>
    <row r="12" spans="1:14" ht="14.1">
      <c r="A12" s="23"/>
      <c r="B12" s="20"/>
      <c r="C12" s="22"/>
      <c r="D12" s="20"/>
      <c r="E12" s="23" t="s">
        <v>26</v>
      </c>
      <c r="F12" s="20"/>
      <c r="G12" s="22" t="s">
        <v>26</v>
      </c>
      <c r="H12" s="20"/>
      <c r="I12" s="22" t="s">
        <v>27</v>
      </c>
      <c r="J12" s="20"/>
      <c r="K12" s="22" t="s">
        <v>19</v>
      </c>
      <c r="L12" s="20"/>
      <c r="M12" s="22" t="s">
        <v>19</v>
      </c>
      <c r="N12" s="20"/>
    </row>
    <row r="13" spans="1:14" ht="18" customHeight="1">
      <c r="A13" s="25"/>
      <c r="B13" s="20"/>
      <c r="C13" s="31"/>
      <c r="D13" s="24"/>
      <c r="E13" s="31" t="s">
        <v>30</v>
      </c>
      <c r="F13" s="24"/>
      <c r="G13" s="31" t="s">
        <v>29</v>
      </c>
      <c r="H13" s="24"/>
      <c r="I13" s="31" t="s">
        <v>30</v>
      </c>
      <c r="J13" s="24"/>
      <c r="K13" s="31" t="s">
        <v>30</v>
      </c>
      <c r="L13" s="24"/>
      <c r="M13" s="31" t="s">
        <v>30</v>
      </c>
      <c r="N13" s="24"/>
    </row>
    <row r="14" spans="1:14" ht="18" customHeight="1">
      <c r="A14" s="2">
        <f>M6+1</f>
        <v>45537</v>
      </c>
      <c r="B14" s="3"/>
      <c r="C14" s="2">
        <f>A14+1</f>
        <v>45538</v>
      </c>
      <c r="D14" s="3"/>
      <c r="E14" s="2">
        <f>C14+1</f>
        <v>45539</v>
      </c>
      <c r="F14" s="3"/>
      <c r="G14" s="2">
        <f>E14+1</f>
        <v>45540</v>
      </c>
      <c r="H14" s="3"/>
      <c r="I14" s="2">
        <f>G14+1</f>
        <v>45541</v>
      </c>
      <c r="J14" s="3"/>
      <c r="K14" s="4">
        <f>I14+1</f>
        <v>45542</v>
      </c>
      <c r="L14" s="5"/>
      <c r="M14" s="4">
        <f>K14+1</f>
        <v>45543</v>
      </c>
      <c r="N14" s="5"/>
    </row>
    <row r="15" spans="1:14" ht="14.1">
      <c r="A15" s="29" t="s">
        <v>105</v>
      </c>
      <c r="B15" s="20"/>
      <c r="C15" s="29" t="s">
        <v>24</v>
      </c>
      <c r="D15" s="20"/>
      <c r="E15" s="29" t="s">
        <v>105</v>
      </c>
      <c r="F15" s="20"/>
      <c r="G15" s="29" t="s">
        <v>24</v>
      </c>
      <c r="H15" s="20"/>
      <c r="I15" s="44" t="s">
        <v>24</v>
      </c>
      <c r="J15" s="20"/>
      <c r="K15" s="44" t="s">
        <v>24</v>
      </c>
      <c r="L15" s="20"/>
      <c r="M15" s="44" t="s">
        <v>24</v>
      </c>
      <c r="N15" s="20"/>
    </row>
    <row r="16" spans="1:14" ht="14.1">
      <c r="A16" s="27" t="s">
        <v>51</v>
      </c>
      <c r="B16" s="20"/>
      <c r="C16" s="27" t="s">
        <v>51</v>
      </c>
      <c r="D16" s="20"/>
      <c r="E16" s="27" t="s">
        <v>51</v>
      </c>
      <c r="F16" s="20"/>
      <c r="G16" s="27" t="s">
        <v>51</v>
      </c>
      <c r="H16" s="20"/>
      <c r="I16" s="26" t="s">
        <v>59</v>
      </c>
      <c r="J16" s="20"/>
      <c r="K16" s="26" t="s">
        <v>59</v>
      </c>
      <c r="L16" s="20"/>
      <c r="M16" s="26" t="s">
        <v>59</v>
      </c>
      <c r="N16" s="20"/>
    </row>
    <row r="17" spans="1:14" ht="14.1">
      <c r="A17" s="19" t="s">
        <v>14</v>
      </c>
      <c r="B17" s="20"/>
      <c r="C17" s="19" t="s">
        <v>13</v>
      </c>
      <c r="D17" s="20"/>
      <c r="E17" s="19" t="s">
        <v>14</v>
      </c>
      <c r="F17" s="20"/>
      <c r="G17" s="19" t="s">
        <v>13</v>
      </c>
      <c r="H17" s="20"/>
      <c r="I17" s="35" t="s">
        <v>13</v>
      </c>
      <c r="J17" s="20"/>
      <c r="K17" s="35" t="s">
        <v>13</v>
      </c>
      <c r="L17" s="20"/>
      <c r="M17" s="35" t="s">
        <v>13</v>
      </c>
      <c r="N17" s="20"/>
    </row>
    <row r="18" spans="1:14" ht="14.1">
      <c r="A18" s="21" t="s">
        <v>24</v>
      </c>
      <c r="B18" s="20"/>
      <c r="C18" s="30" t="s">
        <v>89</v>
      </c>
      <c r="D18" s="20"/>
      <c r="E18" s="30" t="s">
        <v>89</v>
      </c>
      <c r="F18" s="20"/>
      <c r="G18" s="30" t="s">
        <v>89</v>
      </c>
      <c r="H18" s="20"/>
      <c r="I18" s="21" t="s">
        <v>15</v>
      </c>
      <c r="J18" s="20"/>
      <c r="K18" s="21" t="s">
        <v>15</v>
      </c>
      <c r="L18" s="20"/>
      <c r="M18" s="21" t="s">
        <v>15</v>
      </c>
      <c r="N18" s="20"/>
    </row>
    <row r="19" spans="1:14" ht="14.1">
      <c r="A19" s="56" t="s">
        <v>25</v>
      </c>
      <c r="B19" s="20"/>
      <c r="C19" s="56" t="s">
        <v>25</v>
      </c>
      <c r="D19" s="20"/>
      <c r="E19" s="56" t="s">
        <v>25</v>
      </c>
      <c r="F19" s="20"/>
      <c r="G19" s="56" t="s">
        <v>25</v>
      </c>
      <c r="H19" s="20"/>
      <c r="I19" s="56" t="s">
        <v>25</v>
      </c>
      <c r="J19" s="20"/>
      <c r="K19" s="56" t="s">
        <v>25</v>
      </c>
      <c r="L19" s="20"/>
      <c r="M19" s="56" t="s">
        <v>25</v>
      </c>
      <c r="N19" s="20"/>
    </row>
    <row r="20" spans="1:14" ht="14.1">
      <c r="A20" s="23" t="s">
        <v>28</v>
      </c>
      <c r="B20" s="20"/>
      <c r="C20" s="22" t="s">
        <v>106</v>
      </c>
      <c r="D20" s="20"/>
      <c r="E20" s="23" t="s">
        <v>107</v>
      </c>
      <c r="F20" s="20"/>
      <c r="G20" s="22" t="s">
        <v>17</v>
      </c>
      <c r="H20" s="20"/>
      <c r="I20" s="22" t="s">
        <v>28</v>
      </c>
      <c r="J20" s="20"/>
      <c r="K20" s="22" t="s">
        <v>108</v>
      </c>
      <c r="L20" s="20"/>
      <c r="M20" s="22" t="s">
        <v>36</v>
      </c>
      <c r="N20" s="20"/>
    </row>
    <row r="21" spans="1:14" ht="18" customHeight="1">
      <c r="A21" s="25" t="s">
        <v>50</v>
      </c>
      <c r="B21" s="20"/>
      <c r="C21" s="25" t="s">
        <v>50</v>
      </c>
      <c r="D21" s="20"/>
      <c r="E21" s="25" t="s">
        <v>50</v>
      </c>
      <c r="F21" s="20"/>
      <c r="G21" s="25" t="s">
        <v>63</v>
      </c>
      <c r="H21" s="20"/>
      <c r="I21" s="25" t="s">
        <v>50</v>
      </c>
      <c r="J21" s="20"/>
      <c r="K21" s="25" t="s">
        <v>50</v>
      </c>
      <c r="L21" s="20"/>
      <c r="M21" s="25" t="s">
        <v>50</v>
      </c>
      <c r="N21" s="20"/>
    </row>
    <row r="22" spans="1:14" ht="18" customHeight="1">
      <c r="A22" s="2">
        <f>M14+1</f>
        <v>45544</v>
      </c>
      <c r="B22" s="3"/>
      <c r="C22" s="2">
        <f>A22+1</f>
        <v>45545</v>
      </c>
      <c r="D22" s="3"/>
      <c r="E22" s="2">
        <f>C22+1</f>
        <v>45546</v>
      </c>
      <c r="F22" s="3"/>
      <c r="G22" s="2">
        <f>E22+1</f>
        <v>45547</v>
      </c>
      <c r="H22" s="3"/>
      <c r="I22" s="2">
        <f>G22+1</f>
        <v>45548</v>
      </c>
      <c r="J22" s="3"/>
      <c r="K22" s="4">
        <f>I22+1</f>
        <v>45549</v>
      </c>
      <c r="L22" s="5"/>
      <c r="M22" s="4">
        <f>K22+1</f>
        <v>45550</v>
      </c>
      <c r="N22" s="5"/>
    </row>
    <row r="23" spans="1:14" ht="14.1">
      <c r="A23" s="29" t="s">
        <v>24</v>
      </c>
      <c r="B23" s="20"/>
      <c r="C23" s="29" t="s">
        <v>24</v>
      </c>
      <c r="D23" s="20"/>
      <c r="E23" s="29" t="s">
        <v>24</v>
      </c>
      <c r="F23" s="20"/>
      <c r="G23" s="29" t="s">
        <v>24</v>
      </c>
      <c r="H23" s="20"/>
      <c r="I23" s="29" t="s">
        <v>31</v>
      </c>
      <c r="J23" s="20"/>
      <c r="K23" s="29" t="s">
        <v>9</v>
      </c>
      <c r="L23" s="20"/>
      <c r="M23" s="29" t="s">
        <v>9</v>
      </c>
      <c r="N23" s="20"/>
    </row>
    <row r="24" spans="1:14" ht="14.1">
      <c r="A24" s="27" t="s">
        <v>59</v>
      </c>
      <c r="B24" s="20"/>
      <c r="C24" s="27" t="s">
        <v>59</v>
      </c>
      <c r="D24" s="20"/>
      <c r="E24" s="27" t="s">
        <v>59</v>
      </c>
      <c r="F24" s="20"/>
      <c r="G24" s="27" t="s">
        <v>59</v>
      </c>
      <c r="H24" s="20"/>
      <c r="I24" s="26" t="s">
        <v>12</v>
      </c>
      <c r="J24" s="20"/>
      <c r="K24" s="26" t="s">
        <v>12</v>
      </c>
      <c r="L24" s="20"/>
      <c r="M24" s="26" t="s">
        <v>12</v>
      </c>
      <c r="N24" s="20"/>
    </row>
    <row r="25" spans="1:14" ht="14.1">
      <c r="A25" s="19" t="s">
        <v>9</v>
      </c>
      <c r="B25" s="20"/>
      <c r="C25" s="19" t="s">
        <v>9</v>
      </c>
      <c r="D25" s="20"/>
      <c r="E25" s="19" t="s">
        <v>9</v>
      </c>
      <c r="F25" s="20"/>
      <c r="G25" s="19" t="s">
        <v>9</v>
      </c>
      <c r="H25" s="20"/>
      <c r="I25" s="19" t="s">
        <v>11</v>
      </c>
      <c r="J25" s="20"/>
      <c r="K25" s="35" t="s">
        <v>39</v>
      </c>
      <c r="L25" s="20"/>
      <c r="M25" s="35" t="s">
        <v>39</v>
      </c>
      <c r="N25" s="20"/>
    </row>
    <row r="26" spans="1:14" ht="14.1">
      <c r="A26" s="21" t="s">
        <v>24</v>
      </c>
      <c r="B26" s="20"/>
      <c r="C26" s="21" t="s">
        <v>24</v>
      </c>
      <c r="D26" s="20"/>
      <c r="E26" s="21" t="s">
        <v>24</v>
      </c>
      <c r="F26" s="20"/>
      <c r="G26" s="21" t="s">
        <v>15</v>
      </c>
      <c r="H26" s="20"/>
      <c r="I26" s="21" t="s">
        <v>89</v>
      </c>
      <c r="J26" s="20"/>
      <c r="K26" s="21" t="s">
        <v>89</v>
      </c>
      <c r="L26" s="20"/>
      <c r="M26" s="21" t="s">
        <v>89</v>
      </c>
      <c r="N26" s="20"/>
    </row>
    <row r="27" spans="1:14" ht="14.1">
      <c r="A27" s="56" t="s">
        <v>13</v>
      </c>
      <c r="B27" s="20"/>
      <c r="C27" s="56" t="s">
        <v>13</v>
      </c>
      <c r="D27" s="20"/>
      <c r="E27" s="56" t="s">
        <v>13</v>
      </c>
      <c r="F27" s="20"/>
      <c r="G27" s="56" t="s">
        <v>13</v>
      </c>
      <c r="H27" s="20"/>
      <c r="I27" s="56" t="s">
        <v>13</v>
      </c>
      <c r="J27" s="20"/>
      <c r="K27" s="56" t="s">
        <v>13</v>
      </c>
      <c r="L27" s="20"/>
      <c r="M27" s="56" t="s">
        <v>13</v>
      </c>
      <c r="N27" s="20"/>
    </row>
    <row r="28" spans="1:14" ht="14.1">
      <c r="A28" s="23" t="s">
        <v>27</v>
      </c>
      <c r="B28" s="20"/>
      <c r="C28" s="22" t="s">
        <v>26</v>
      </c>
      <c r="D28" s="20"/>
      <c r="E28" s="23" t="s">
        <v>28</v>
      </c>
      <c r="F28" s="20"/>
      <c r="G28" s="22" t="s">
        <v>26</v>
      </c>
      <c r="H28" s="20"/>
      <c r="I28" s="22" t="s">
        <v>97</v>
      </c>
      <c r="J28" s="20"/>
      <c r="K28" s="22" t="s">
        <v>26</v>
      </c>
      <c r="L28" s="20"/>
      <c r="M28" s="22" t="s">
        <v>26</v>
      </c>
      <c r="N28" s="20"/>
    </row>
    <row r="29" spans="1:14" ht="18" customHeight="1">
      <c r="A29" s="25" t="s">
        <v>50</v>
      </c>
      <c r="B29" s="20"/>
      <c r="C29" s="25" t="s">
        <v>61</v>
      </c>
      <c r="D29" s="20"/>
      <c r="E29" s="25" t="s">
        <v>50</v>
      </c>
      <c r="F29" s="20"/>
      <c r="G29" s="25" t="s">
        <v>61</v>
      </c>
      <c r="H29" s="20"/>
      <c r="I29" s="25" t="s">
        <v>50</v>
      </c>
      <c r="J29" s="20"/>
      <c r="K29" s="25" t="s">
        <v>74</v>
      </c>
      <c r="L29" s="20"/>
      <c r="M29" s="25" t="s">
        <v>74</v>
      </c>
      <c r="N29" s="20"/>
    </row>
    <row r="30" spans="1:14" ht="18" customHeight="1">
      <c r="A30" s="4">
        <f>M22+1</f>
        <v>45551</v>
      </c>
      <c r="B30" s="5"/>
      <c r="C30" s="4">
        <f>A30+1</f>
        <v>45552</v>
      </c>
      <c r="D30" s="5"/>
      <c r="E30" s="4">
        <f>C30+1</f>
        <v>45553</v>
      </c>
      <c r="F30" s="5"/>
      <c r="G30" s="4">
        <f>E30+1</f>
        <v>45554</v>
      </c>
      <c r="H30" s="5"/>
      <c r="I30" s="4">
        <f>G30+1</f>
        <v>45555</v>
      </c>
      <c r="J30" s="5"/>
      <c r="K30" s="4">
        <f>I30+1</f>
        <v>45556</v>
      </c>
      <c r="L30" s="5"/>
      <c r="M30" s="4">
        <f>K30+1</f>
        <v>45557</v>
      </c>
      <c r="N30" s="5"/>
    </row>
    <row r="31" spans="1:14" ht="14.1">
      <c r="A31" s="29" t="s">
        <v>31</v>
      </c>
      <c r="B31" s="20"/>
      <c r="C31" s="29" t="s">
        <v>9</v>
      </c>
      <c r="D31" s="20"/>
      <c r="E31" s="29" t="s">
        <v>9</v>
      </c>
      <c r="F31" s="20"/>
      <c r="G31" s="29" t="s">
        <v>9</v>
      </c>
      <c r="H31" s="20"/>
      <c r="I31" s="44" t="s">
        <v>78</v>
      </c>
      <c r="J31" s="20"/>
      <c r="K31" s="44" t="s">
        <v>50</v>
      </c>
      <c r="L31" s="20"/>
      <c r="M31" s="44" t="s">
        <v>52</v>
      </c>
      <c r="N31" s="20"/>
    </row>
    <row r="32" spans="1:14" ht="14.1">
      <c r="A32" s="27" t="s">
        <v>12</v>
      </c>
      <c r="B32" s="20"/>
      <c r="C32" s="27" t="s">
        <v>12</v>
      </c>
      <c r="D32" s="20"/>
      <c r="E32" s="27" t="s">
        <v>12</v>
      </c>
      <c r="F32" s="20"/>
      <c r="G32" s="27" t="s">
        <v>12</v>
      </c>
      <c r="H32" s="20"/>
      <c r="I32" s="26" t="s">
        <v>54</v>
      </c>
      <c r="J32" s="20"/>
      <c r="K32" s="26" t="s">
        <v>54</v>
      </c>
      <c r="L32" s="20"/>
      <c r="M32" s="26" t="s">
        <v>54</v>
      </c>
      <c r="N32" s="20"/>
    </row>
    <row r="33" spans="1:14" ht="14.1">
      <c r="A33" s="19" t="s">
        <v>59</v>
      </c>
      <c r="B33" s="20"/>
      <c r="C33" s="19" t="s">
        <v>59</v>
      </c>
      <c r="D33" s="20"/>
      <c r="E33" s="19" t="s">
        <v>59</v>
      </c>
      <c r="F33" s="20"/>
      <c r="G33" s="19" t="s">
        <v>59</v>
      </c>
      <c r="H33" s="20"/>
      <c r="I33" s="19" t="s">
        <v>40</v>
      </c>
      <c r="J33" s="20"/>
      <c r="K33" s="19" t="s">
        <v>88</v>
      </c>
      <c r="L33" s="20"/>
      <c r="M33" s="19" t="s">
        <v>88</v>
      </c>
      <c r="N33" s="20"/>
    </row>
    <row r="34" spans="1:14" ht="14.1">
      <c r="A34" s="21" t="s">
        <v>15</v>
      </c>
      <c r="B34" s="20"/>
      <c r="C34" s="21" t="s">
        <v>15</v>
      </c>
      <c r="D34" s="20"/>
      <c r="E34" s="21" t="s">
        <v>24</v>
      </c>
      <c r="F34" s="20"/>
      <c r="G34" s="21" t="s">
        <v>15</v>
      </c>
      <c r="H34" s="20"/>
      <c r="I34" s="21" t="s">
        <v>15</v>
      </c>
      <c r="J34" s="20"/>
      <c r="K34" s="21" t="s">
        <v>15</v>
      </c>
      <c r="L34" s="20"/>
      <c r="M34" s="21" t="s">
        <v>15</v>
      </c>
      <c r="N34" s="20"/>
    </row>
    <row r="35" spans="1:14" ht="14.1">
      <c r="A35" s="56" t="s">
        <v>16</v>
      </c>
      <c r="B35" s="20"/>
      <c r="C35" s="56" t="s">
        <v>16</v>
      </c>
      <c r="D35" s="20"/>
      <c r="E35" s="56" t="s">
        <v>16</v>
      </c>
      <c r="F35" s="20"/>
      <c r="G35" s="56" t="s">
        <v>16</v>
      </c>
      <c r="H35" s="20"/>
      <c r="I35" s="56" t="s">
        <v>16</v>
      </c>
      <c r="J35" s="20"/>
      <c r="K35" s="56" t="s">
        <v>16</v>
      </c>
      <c r="L35" s="20"/>
      <c r="M35" s="56" t="s">
        <v>16</v>
      </c>
      <c r="N35" s="20"/>
    </row>
    <row r="36" spans="1:14" ht="14.1">
      <c r="A36" s="23" t="s">
        <v>27</v>
      </c>
      <c r="B36" s="20"/>
      <c r="C36" s="22" t="s">
        <v>27</v>
      </c>
      <c r="D36" s="20"/>
      <c r="E36" s="23" t="s">
        <v>17</v>
      </c>
      <c r="F36" s="20"/>
      <c r="G36" s="22" t="s">
        <v>17</v>
      </c>
      <c r="H36" s="20"/>
      <c r="I36" s="22" t="s">
        <v>17</v>
      </c>
      <c r="J36" s="20"/>
      <c r="K36" s="22" t="s">
        <v>17</v>
      </c>
      <c r="L36" s="20"/>
      <c r="M36" s="22" t="s">
        <v>17</v>
      </c>
      <c r="N36" s="20"/>
    </row>
    <row r="37" spans="1:14" ht="18" customHeight="1">
      <c r="A37" s="25" t="s">
        <v>30</v>
      </c>
      <c r="B37" s="20"/>
      <c r="C37" s="25" t="s">
        <v>30</v>
      </c>
      <c r="D37" s="20"/>
      <c r="E37" s="25" t="s">
        <v>29</v>
      </c>
      <c r="F37" s="20"/>
      <c r="G37" s="25" t="s">
        <v>29</v>
      </c>
      <c r="H37" s="20"/>
      <c r="I37" s="25" t="s">
        <v>29</v>
      </c>
      <c r="J37" s="20"/>
      <c r="K37" s="25" t="s">
        <v>41</v>
      </c>
      <c r="L37" s="20"/>
      <c r="M37" s="25" t="s">
        <v>41</v>
      </c>
      <c r="N37" s="20"/>
    </row>
    <row r="38" spans="1:14" ht="18" customHeight="1">
      <c r="A38" s="4">
        <f>IF(M30="","",IF(MONTH(M30+1)&lt;&gt;MONTH($A$1),"",M30+1))</f>
        <v>45558</v>
      </c>
      <c r="B38" s="5"/>
      <c r="C38" s="4">
        <f>IF(A38="","",IF(MONTH(A38+1)&lt;&gt;MONTH($A$1),"",A38+1))</f>
        <v>45559</v>
      </c>
      <c r="D38" s="5"/>
      <c r="E38" s="4">
        <f>IF(C38="","",IF(MONTH(C38+1)&lt;&gt;MONTH($A$1),"",C38+1))</f>
        <v>45560</v>
      </c>
      <c r="F38" s="5"/>
      <c r="G38" s="4">
        <f>IF(E38="","",IF(MONTH(E38+1)&lt;&gt;MONTH($A$1),"",E38+1))</f>
        <v>45561</v>
      </c>
      <c r="H38" s="5"/>
      <c r="I38" s="4">
        <f>IF(G38="","",IF(MONTH(G38+1)&lt;&gt;MONTH($A$1),"",G38+1))</f>
        <v>45562</v>
      </c>
      <c r="J38" s="5"/>
      <c r="K38" s="4">
        <f>IF(I38="","",IF(MONTH(I38+1)&lt;&gt;MONTH($A$1),"",I38+1))</f>
        <v>45563</v>
      </c>
      <c r="L38" s="5"/>
      <c r="M38" s="4">
        <f>IF(K38="","",IF(MONTH(K38+1)&lt;&gt;MONTH($A$1),"",K38+1))</f>
        <v>45564</v>
      </c>
      <c r="N38" s="5"/>
    </row>
    <row r="39" spans="1:14" ht="14.1">
      <c r="A39" s="29" t="s">
        <v>52</v>
      </c>
      <c r="B39" s="20"/>
      <c r="C39" s="29" t="s">
        <v>50</v>
      </c>
      <c r="D39" s="20"/>
      <c r="E39" s="29" t="s">
        <v>50</v>
      </c>
      <c r="F39" s="20"/>
      <c r="G39" s="29" t="s">
        <v>50</v>
      </c>
      <c r="H39" s="20"/>
      <c r="I39" s="44"/>
      <c r="J39" s="20"/>
      <c r="K39" s="44"/>
      <c r="L39" s="20"/>
      <c r="M39" s="44"/>
      <c r="N39" s="20"/>
    </row>
    <row r="40" spans="1:14" ht="14.1">
      <c r="A40" s="27" t="s">
        <v>54</v>
      </c>
      <c r="B40" s="20"/>
      <c r="C40" s="27" t="s">
        <v>54</v>
      </c>
      <c r="D40" s="20"/>
      <c r="E40" s="27" t="s">
        <v>54</v>
      </c>
      <c r="F40" s="20"/>
      <c r="G40" s="27" t="s">
        <v>54</v>
      </c>
      <c r="H40" s="20"/>
      <c r="I40" s="26"/>
      <c r="J40" s="20"/>
      <c r="K40" s="26"/>
      <c r="L40" s="20"/>
      <c r="M40" s="26"/>
      <c r="N40" s="20"/>
    </row>
    <row r="41" spans="1:14" ht="14.1">
      <c r="A41" s="19" t="s">
        <v>9</v>
      </c>
      <c r="B41" s="20"/>
      <c r="C41" s="19" t="s">
        <v>13</v>
      </c>
      <c r="D41" s="20"/>
      <c r="E41" s="19" t="s">
        <v>13</v>
      </c>
      <c r="F41" s="20"/>
      <c r="G41" s="19" t="s">
        <v>13</v>
      </c>
      <c r="H41" s="20"/>
      <c r="I41" s="35"/>
      <c r="J41" s="20"/>
      <c r="K41" s="35"/>
      <c r="L41" s="20"/>
      <c r="M41" s="35"/>
      <c r="N41" s="20"/>
    </row>
    <row r="42" spans="1:14" ht="14.1">
      <c r="A42" s="21" t="s">
        <v>89</v>
      </c>
      <c r="B42" s="20"/>
      <c r="C42" s="21" t="s">
        <v>89</v>
      </c>
      <c r="D42" s="20"/>
      <c r="E42" s="21" t="s">
        <v>89</v>
      </c>
      <c r="F42" s="20"/>
      <c r="G42" s="21" t="s">
        <v>89</v>
      </c>
      <c r="H42" s="20"/>
      <c r="I42" s="30"/>
      <c r="J42" s="20"/>
      <c r="K42" s="30"/>
      <c r="L42" s="20"/>
      <c r="M42" s="30"/>
      <c r="N42" s="20"/>
    </row>
    <row r="43" spans="1:14" ht="14.1">
      <c r="A43" s="56" t="s">
        <v>43</v>
      </c>
      <c r="B43" s="20"/>
      <c r="C43" s="56" t="s">
        <v>43</v>
      </c>
      <c r="D43" s="20"/>
      <c r="E43" s="56" t="s">
        <v>43</v>
      </c>
      <c r="F43" s="20"/>
      <c r="G43" s="56" t="s">
        <v>43</v>
      </c>
      <c r="H43" s="20"/>
      <c r="I43" s="57"/>
      <c r="J43" s="20"/>
      <c r="K43" s="57"/>
      <c r="L43" s="20"/>
      <c r="M43" s="57"/>
      <c r="N43" s="20"/>
    </row>
    <row r="44" spans="1:14" ht="14.1">
      <c r="A44" s="23" t="s">
        <v>28</v>
      </c>
      <c r="B44" s="20"/>
      <c r="C44" s="22" t="s">
        <v>27</v>
      </c>
      <c r="D44" s="20"/>
      <c r="E44" s="23" t="s">
        <v>17</v>
      </c>
      <c r="F44" s="20"/>
      <c r="G44" s="22" t="s">
        <v>27</v>
      </c>
      <c r="H44" s="20"/>
      <c r="I44" s="22"/>
      <c r="J44" s="20"/>
      <c r="K44" s="22"/>
      <c r="L44" s="20"/>
      <c r="M44" s="22"/>
      <c r="N44" s="20"/>
    </row>
    <row r="45" spans="1:14" ht="18" customHeight="1">
      <c r="A45" s="25" t="s">
        <v>30</v>
      </c>
      <c r="B45" s="20"/>
      <c r="C45" s="25" t="s">
        <v>30</v>
      </c>
      <c r="D45" s="20"/>
      <c r="E45" s="25" t="s">
        <v>30</v>
      </c>
      <c r="F45" s="20"/>
      <c r="G45" s="25" t="s">
        <v>30</v>
      </c>
      <c r="H45" s="20"/>
      <c r="I45" s="31"/>
      <c r="J45" s="24"/>
      <c r="K45" s="31"/>
      <c r="L45" s="24"/>
      <c r="M45" s="31"/>
      <c r="N45" s="24"/>
    </row>
    <row r="46" spans="1:14" ht="18" customHeight="1">
      <c r="A46" s="2">
        <f>IF(M38="","",IF(MONTH(M38+1)&lt;&gt;MONTH($A$1),"",M38+1))</f>
        <v>45565</v>
      </c>
      <c r="B46" s="3"/>
      <c r="C46" s="2" t="str">
        <f>IF(A46="","",IF(MONTH(A46+1)&lt;&gt;MONTH($A$1),"",A46+1))</f>
        <v/>
      </c>
      <c r="D46" s="3"/>
      <c r="E46" s="46" t="s">
        <v>22</v>
      </c>
      <c r="F46" s="47"/>
      <c r="G46" s="48"/>
      <c r="H46" s="47"/>
      <c r="I46" s="47"/>
      <c r="J46" s="47"/>
      <c r="K46" s="47"/>
      <c r="L46" s="47"/>
      <c r="M46" s="47"/>
      <c r="N46" s="49"/>
    </row>
    <row r="47" spans="1:14" ht="14.1">
      <c r="A47" s="29"/>
      <c r="B47" s="20"/>
      <c r="C47" s="44"/>
      <c r="D47" s="20"/>
      <c r="E47" s="45" t="s">
        <v>109</v>
      </c>
      <c r="F47" s="37"/>
      <c r="G47" s="37"/>
      <c r="H47" s="37"/>
      <c r="I47" s="37"/>
      <c r="J47" s="37"/>
      <c r="K47" s="37"/>
      <c r="L47" s="37"/>
      <c r="M47" s="37"/>
      <c r="N47" s="20"/>
    </row>
    <row r="48" spans="1:14" ht="14.1">
      <c r="A48" s="27"/>
      <c r="B48" s="20"/>
      <c r="C48" s="26"/>
      <c r="D48" s="20"/>
      <c r="E48" s="45" t="s">
        <v>110</v>
      </c>
      <c r="F48" s="37"/>
      <c r="G48" s="37"/>
      <c r="H48" s="37"/>
      <c r="I48" s="37"/>
      <c r="J48" s="37"/>
      <c r="K48" s="37"/>
      <c r="L48" s="37"/>
      <c r="M48" s="37"/>
      <c r="N48" s="20"/>
    </row>
    <row r="49" spans="1:14" ht="14.1">
      <c r="A49" s="19"/>
      <c r="B49" s="20"/>
      <c r="C49" s="35"/>
      <c r="D49" s="20"/>
      <c r="E49" s="45" t="s">
        <v>111</v>
      </c>
      <c r="F49" s="37"/>
      <c r="G49" s="37"/>
      <c r="H49" s="37"/>
      <c r="I49" s="37"/>
      <c r="J49" s="37"/>
      <c r="K49" s="37"/>
      <c r="L49" s="37"/>
      <c r="M49" s="37"/>
      <c r="N49" s="20"/>
    </row>
    <row r="50" spans="1:14" ht="14.1">
      <c r="A50" s="21"/>
      <c r="B50" s="20"/>
      <c r="C50" s="30"/>
      <c r="D50" s="20"/>
      <c r="E50" s="6"/>
      <c r="F50" s="7"/>
      <c r="G50" s="7"/>
      <c r="H50" s="7"/>
      <c r="I50" s="7"/>
      <c r="J50" s="7"/>
      <c r="K50" s="7"/>
      <c r="L50" s="7"/>
      <c r="M50" s="7"/>
      <c r="N50" s="8"/>
    </row>
    <row r="51" spans="1:14" ht="14.1">
      <c r="A51" s="56"/>
      <c r="B51" s="20"/>
      <c r="C51" s="57"/>
      <c r="D51" s="20"/>
      <c r="E51" s="6"/>
      <c r="F51" s="7"/>
      <c r="G51" s="7"/>
      <c r="H51" s="7"/>
      <c r="I51" s="7"/>
      <c r="J51" s="7"/>
      <c r="K51" s="7"/>
      <c r="L51" s="7"/>
      <c r="M51" s="7"/>
      <c r="N51" s="8"/>
    </row>
    <row r="52" spans="1:14" ht="14.1">
      <c r="A52" s="23"/>
      <c r="B52" s="20"/>
      <c r="C52" s="22"/>
      <c r="D52" s="20"/>
      <c r="E52" s="6"/>
      <c r="F52" s="7"/>
      <c r="G52" s="7"/>
      <c r="H52" s="7"/>
      <c r="I52" s="7"/>
      <c r="J52" s="7"/>
      <c r="K52" s="7"/>
      <c r="L52" s="7"/>
      <c r="M52" s="7"/>
      <c r="N52" s="8"/>
    </row>
    <row r="53" spans="1:14" ht="14.1">
      <c r="A53" s="25"/>
      <c r="B53" s="20"/>
      <c r="C53" s="31"/>
      <c r="D53" s="24"/>
      <c r="E53" s="32" t="s">
        <v>23</v>
      </c>
      <c r="F53" s="33"/>
      <c r="G53" s="33"/>
      <c r="H53" s="33"/>
      <c r="I53" s="34" t="str">
        <f>HYPERLINK("https://www.vertex42.com/calendars/academic-calendar.html","https://www.vertex42.com/calendars/academic-calendar.html")</f>
        <v>https://www.vertex42.com/calendars/academic-calendar.html</v>
      </c>
      <c r="J53" s="33"/>
      <c r="K53" s="33"/>
      <c r="L53" s="33"/>
      <c r="M53" s="33"/>
      <c r="N53" s="24"/>
    </row>
  </sheetData>
  <mergeCells count="283">
    <mergeCell ref="C42:D42"/>
    <mergeCell ref="E42:F42"/>
    <mergeCell ref="G42:H42"/>
    <mergeCell ref="I42:J42"/>
    <mergeCell ref="K42:L42"/>
    <mergeCell ref="M42:N42"/>
    <mergeCell ref="A42:B42"/>
    <mergeCell ref="C43:D43"/>
    <mergeCell ref="E43:F43"/>
    <mergeCell ref="G43:H43"/>
    <mergeCell ref="I43:J43"/>
    <mergeCell ref="K43:L43"/>
    <mergeCell ref="M43:N43"/>
    <mergeCell ref="A43:B43"/>
    <mergeCell ref="C40:D40"/>
    <mergeCell ref="E40:F40"/>
    <mergeCell ref="G40:H40"/>
    <mergeCell ref="I40:J40"/>
    <mergeCell ref="K40:L40"/>
    <mergeCell ref="M40:N40"/>
    <mergeCell ref="A40:B40"/>
    <mergeCell ref="C41:D41"/>
    <mergeCell ref="E41:F41"/>
    <mergeCell ref="G41:H41"/>
    <mergeCell ref="I41:J41"/>
    <mergeCell ref="K41:L41"/>
    <mergeCell ref="M41:N41"/>
    <mergeCell ref="A41:B41"/>
    <mergeCell ref="C35:D35"/>
    <mergeCell ref="E35:F35"/>
    <mergeCell ref="G35:H35"/>
    <mergeCell ref="I35:J35"/>
    <mergeCell ref="K35:L35"/>
    <mergeCell ref="M35:N35"/>
    <mergeCell ref="A35:B35"/>
    <mergeCell ref="C36:D36"/>
    <mergeCell ref="E36:F36"/>
    <mergeCell ref="G36:H36"/>
    <mergeCell ref="I36:J36"/>
    <mergeCell ref="K36:L36"/>
    <mergeCell ref="M36:N36"/>
    <mergeCell ref="A36:B36"/>
    <mergeCell ref="C33:D33"/>
    <mergeCell ref="E33:F33"/>
    <mergeCell ref="G33:H33"/>
    <mergeCell ref="I33:J33"/>
    <mergeCell ref="K33:L33"/>
    <mergeCell ref="M33:N33"/>
    <mergeCell ref="A33:B33"/>
    <mergeCell ref="C34:D34"/>
    <mergeCell ref="E34:F34"/>
    <mergeCell ref="G34:H34"/>
    <mergeCell ref="I34:J34"/>
    <mergeCell ref="K34:L34"/>
    <mergeCell ref="M34:N34"/>
    <mergeCell ref="A34:B34"/>
    <mergeCell ref="C31:D31"/>
    <mergeCell ref="E31:F31"/>
    <mergeCell ref="G31:H31"/>
    <mergeCell ref="I31:J31"/>
    <mergeCell ref="K31:L31"/>
    <mergeCell ref="M31:N31"/>
    <mergeCell ref="A31:B31"/>
    <mergeCell ref="C32:D32"/>
    <mergeCell ref="E32:F32"/>
    <mergeCell ref="G32:H32"/>
    <mergeCell ref="I32:J32"/>
    <mergeCell ref="K32:L32"/>
    <mergeCell ref="M32:N32"/>
    <mergeCell ref="A32:B32"/>
    <mergeCell ref="C28:D28"/>
    <mergeCell ref="E28:F28"/>
    <mergeCell ref="G28:H28"/>
    <mergeCell ref="I28:J28"/>
    <mergeCell ref="K28:L28"/>
    <mergeCell ref="M28:N28"/>
    <mergeCell ref="A28:B28"/>
    <mergeCell ref="C29:D29"/>
    <mergeCell ref="E29:F29"/>
    <mergeCell ref="G29:H29"/>
    <mergeCell ref="I29:J29"/>
    <mergeCell ref="K29:L29"/>
    <mergeCell ref="M29:N29"/>
    <mergeCell ref="A29:B29"/>
    <mergeCell ref="C21:D21"/>
    <mergeCell ref="E21:F21"/>
    <mergeCell ref="G21:H21"/>
    <mergeCell ref="I21:J21"/>
    <mergeCell ref="K21:L21"/>
    <mergeCell ref="M21:N21"/>
    <mergeCell ref="A21:B21"/>
    <mergeCell ref="C23:D23"/>
    <mergeCell ref="E23:F23"/>
    <mergeCell ref="G23:H23"/>
    <mergeCell ref="I23:J23"/>
    <mergeCell ref="K23:L23"/>
    <mergeCell ref="M23:N23"/>
    <mergeCell ref="A23:B23"/>
    <mergeCell ref="A52:B52"/>
    <mergeCell ref="C52:D52"/>
    <mergeCell ref="A53:B53"/>
    <mergeCell ref="C53:D53"/>
    <mergeCell ref="E53:H53"/>
    <mergeCell ref="I53:N53"/>
    <mergeCell ref="A49:B49"/>
    <mergeCell ref="C49:D49"/>
    <mergeCell ref="E49:N49"/>
    <mergeCell ref="A50:B50"/>
    <mergeCell ref="C50:D50"/>
    <mergeCell ref="A51:B51"/>
    <mergeCell ref="C51:D51"/>
    <mergeCell ref="C8:D8"/>
    <mergeCell ref="E8:F8"/>
    <mergeCell ref="G8:H8"/>
    <mergeCell ref="I8:J8"/>
    <mergeCell ref="K8:L8"/>
    <mergeCell ref="M8:N8"/>
    <mergeCell ref="A8:B8"/>
    <mergeCell ref="C9:D9"/>
    <mergeCell ref="E9:F9"/>
    <mergeCell ref="G9:H9"/>
    <mergeCell ref="I9:J9"/>
    <mergeCell ref="K9:L9"/>
    <mergeCell ref="M9:N9"/>
    <mergeCell ref="A9:B9"/>
    <mergeCell ref="C5:D5"/>
    <mergeCell ref="E5:F5"/>
    <mergeCell ref="G5:H5"/>
    <mergeCell ref="I5:J5"/>
    <mergeCell ref="K5:L5"/>
    <mergeCell ref="M5:N5"/>
    <mergeCell ref="A5:B5"/>
    <mergeCell ref="C7:D7"/>
    <mergeCell ref="E7:F7"/>
    <mergeCell ref="G7:H7"/>
    <mergeCell ref="I7:J7"/>
    <mergeCell ref="K7:L7"/>
    <mergeCell ref="M7:N7"/>
    <mergeCell ref="A7:B7"/>
    <mergeCell ref="K3:L3"/>
    <mergeCell ref="M3:N3"/>
    <mergeCell ref="A1:N1"/>
    <mergeCell ref="A2:N2"/>
    <mergeCell ref="C3:D3"/>
    <mergeCell ref="E3:F3"/>
    <mergeCell ref="G3:H3"/>
    <mergeCell ref="I3:J3"/>
    <mergeCell ref="A4:N4"/>
    <mergeCell ref="A3:B3"/>
    <mergeCell ref="C48:D48"/>
    <mergeCell ref="E48:N48"/>
    <mergeCell ref="E45:F45"/>
    <mergeCell ref="E46:F46"/>
    <mergeCell ref="G46:N46"/>
    <mergeCell ref="A47:B47"/>
    <mergeCell ref="C47:D47"/>
    <mergeCell ref="E47:N47"/>
    <mergeCell ref="A48:B48"/>
    <mergeCell ref="C44:D44"/>
    <mergeCell ref="E44:F44"/>
    <mergeCell ref="G44:H44"/>
    <mergeCell ref="I44:J44"/>
    <mergeCell ref="K44:L44"/>
    <mergeCell ref="M44:N44"/>
    <mergeCell ref="A44:B44"/>
    <mergeCell ref="A45:B45"/>
    <mergeCell ref="C45:D45"/>
    <mergeCell ref="G45:H45"/>
    <mergeCell ref="I45:J45"/>
    <mergeCell ref="K45:L45"/>
    <mergeCell ref="M45:N45"/>
    <mergeCell ref="C37:D37"/>
    <mergeCell ref="E37:F37"/>
    <mergeCell ref="G37:H37"/>
    <mergeCell ref="I37:J37"/>
    <mergeCell ref="K37:L37"/>
    <mergeCell ref="M37:N37"/>
    <mergeCell ref="A37:B37"/>
    <mergeCell ref="C39:D39"/>
    <mergeCell ref="E39:F39"/>
    <mergeCell ref="G39:H39"/>
    <mergeCell ref="I39:J39"/>
    <mergeCell ref="K39:L39"/>
    <mergeCell ref="M39:N39"/>
    <mergeCell ref="A39:B39"/>
    <mergeCell ref="C26:D26"/>
    <mergeCell ref="E26:F26"/>
    <mergeCell ref="G26:H26"/>
    <mergeCell ref="I26:J26"/>
    <mergeCell ref="K26:L26"/>
    <mergeCell ref="M26:N26"/>
    <mergeCell ref="A26:B26"/>
    <mergeCell ref="C27:D27"/>
    <mergeCell ref="E27:F27"/>
    <mergeCell ref="G27:H27"/>
    <mergeCell ref="I27:J27"/>
    <mergeCell ref="K27:L27"/>
    <mergeCell ref="M27:N27"/>
    <mergeCell ref="A27:B27"/>
    <mergeCell ref="C24:D24"/>
    <mergeCell ref="E24:F24"/>
    <mergeCell ref="G24:H24"/>
    <mergeCell ref="I24:J24"/>
    <mergeCell ref="K24:L24"/>
    <mergeCell ref="M24:N24"/>
    <mergeCell ref="A24:B24"/>
    <mergeCell ref="C25:D25"/>
    <mergeCell ref="E25:F25"/>
    <mergeCell ref="G25:H25"/>
    <mergeCell ref="I25:J25"/>
    <mergeCell ref="K25:L25"/>
    <mergeCell ref="M25:N25"/>
    <mergeCell ref="A25:B25"/>
    <mergeCell ref="C19:D19"/>
    <mergeCell ref="E19:F19"/>
    <mergeCell ref="G19:H19"/>
    <mergeCell ref="I19:J19"/>
    <mergeCell ref="K19:L19"/>
    <mergeCell ref="M19:N19"/>
    <mergeCell ref="A19:B19"/>
    <mergeCell ref="C20:D20"/>
    <mergeCell ref="E20:F20"/>
    <mergeCell ref="G20:H20"/>
    <mergeCell ref="I20:J20"/>
    <mergeCell ref="K20:L20"/>
    <mergeCell ref="M20:N20"/>
    <mergeCell ref="A20:B20"/>
    <mergeCell ref="C17:D17"/>
    <mergeCell ref="E17:F17"/>
    <mergeCell ref="G17:H17"/>
    <mergeCell ref="I17:J17"/>
    <mergeCell ref="K17:L17"/>
    <mergeCell ref="M17:N17"/>
    <mergeCell ref="A17:B17"/>
    <mergeCell ref="C18:D18"/>
    <mergeCell ref="E18:F18"/>
    <mergeCell ref="G18:H18"/>
    <mergeCell ref="I18:J18"/>
    <mergeCell ref="K18:L18"/>
    <mergeCell ref="M18:N18"/>
    <mergeCell ref="A18:B18"/>
    <mergeCell ref="C15:D15"/>
    <mergeCell ref="E15:F15"/>
    <mergeCell ref="G15:H15"/>
    <mergeCell ref="I15:J15"/>
    <mergeCell ref="K15:L15"/>
    <mergeCell ref="M15:N15"/>
    <mergeCell ref="A15:B15"/>
    <mergeCell ref="C16:D16"/>
    <mergeCell ref="E16:F16"/>
    <mergeCell ref="G16:H16"/>
    <mergeCell ref="I16:J16"/>
    <mergeCell ref="K16:L16"/>
    <mergeCell ref="M16:N16"/>
    <mergeCell ref="A16:B16"/>
    <mergeCell ref="C12:D12"/>
    <mergeCell ref="E12:F12"/>
    <mergeCell ref="G12:H12"/>
    <mergeCell ref="I12:J12"/>
    <mergeCell ref="K12:L12"/>
    <mergeCell ref="M12:N12"/>
    <mergeCell ref="A12:B12"/>
    <mergeCell ref="C13:D13"/>
    <mergeCell ref="E13:F13"/>
    <mergeCell ref="G13:H13"/>
    <mergeCell ref="I13:J13"/>
    <mergeCell ref="K13:L13"/>
    <mergeCell ref="M13:N13"/>
    <mergeCell ref="A13:B13"/>
    <mergeCell ref="C10:D10"/>
    <mergeCell ref="E10:F10"/>
    <mergeCell ref="G10:H10"/>
    <mergeCell ref="I10:J10"/>
    <mergeCell ref="K10:L10"/>
    <mergeCell ref="M10:N10"/>
    <mergeCell ref="A10:B10"/>
    <mergeCell ref="C11:D11"/>
    <mergeCell ref="E11:F11"/>
    <mergeCell ref="G11:H11"/>
    <mergeCell ref="I11:J11"/>
    <mergeCell ref="K11:L11"/>
    <mergeCell ref="M11:N11"/>
    <mergeCell ref="A11:B11"/>
  </mergeCells>
  <printOptions horizontalCentered="1" gridLines="1"/>
  <pageMargins left="0.25" right="0.25" top="0.5" bottom="0.5" header="0" footer="0"/>
  <pageSetup pageOrder="overThenDown" orientation="landscape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A1:N53"/>
  <sheetViews>
    <sheetView showGridLines="0" topLeftCell="A2" workbookViewId="0"/>
  </sheetViews>
  <sheetFormatPr defaultColWidth="12.5703125" defaultRowHeight="12.75" customHeight="1"/>
  <cols>
    <col min="1" max="1" width="3.85546875" customWidth="1"/>
    <col min="2" max="2" width="13.42578125" customWidth="1"/>
    <col min="3" max="3" width="3.85546875" customWidth="1"/>
    <col min="4" max="4" width="13.42578125" customWidth="1"/>
    <col min="5" max="5" width="3.85546875" customWidth="1"/>
    <col min="6" max="6" width="13.42578125" customWidth="1"/>
    <col min="7" max="7" width="3.85546875" customWidth="1"/>
    <col min="8" max="8" width="13.42578125" customWidth="1"/>
    <col min="9" max="9" width="3.85546875" customWidth="1"/>
    <col min="10" max="10" width="13.42578125" customWidth="1"/>
    <col min="11" max="11" width="3.85546875" customWidth="1"/>
    <col min="12" max="12" width="13.42578125" customWidth="1"/>
    <col min="13" max="13" width="3.85546875" customWidth="1"/>
    <col min="14" max="14" width="13.42578125" customWidth="1"/>
  </cols>
  <sheetData>
    <row r="1" spans="1:14" ht="18" hidden="1" customHeight="1">
      <c r="A1" s="52">
        <f>EDATE('©'!A17,15)</f>
        <v>45566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4" ht="18" customHeight="1">
      <c r="A2" s="39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1:14" ht="18" customHeight="1">
      <c r="A3" s="29" t="s">
        <v>2</v>
      </c>
      <c r="B3" s="37"/>
      <c r="C3" s="27" t="s">
        <v>3</v>
      </c>
      <c r="D3" s="37"/>
      <c r="E3" s="19" t="s">
        <v>4</v>
      </c>
      <c r="F3" s="37"/>
      <c r="G3" s="21" t="s">
        <v>5</v>
      </c>
      <c r="H3" s="37"/>
      <c r="I3" s="56" t="s">
        <v>6</v>
      </c>
      <c r="J3" s="37"/>
      <c r="K3" s="23" t="s">
        <v>7</v>
      </c>
      <c r="L3" s="37"/>
      <c r="M3" s="25" t="s">
        <v>8</v>
      </c>
      <c r="N3" s="37"/>
    </row>
    <row r="4" spans="1:14" ht="60.75" customHeight="1">
      <c r="A4" s="42" t="str">
        <f>UPPER(TEXT(A1,"mmmm yyyy"))</f>
        <v>OCTOBER 2024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</row>
    <row r="5" spans="1:14" ht="15" customHeight="1">
      <c r="A5" s="40">
        <f>A14</f>
        <v>45572</v>
      </c>
      <c r="B5" s="41"/>
      <c r="C5" s="40">
        <f>C14</f>
        <v>45573</v>
      </c>
      <c r="D5" s="41"/>
      <c r="E5" s="40">
        <f>E14</f>
        <v>45574</v>
      </c>
      <c r="F5" s="41"/>
      <c r="G5" s="40">
        <f>G14</f>
        <v>45575</v>
      </c>
      <c r="H5" s="41"/>
      <c r="I5" s="40">
        <f>I14</f>
        <v>45576</v>
      </c>
      <c r="J5" s="41"/>
      <c r="K5" s="40">
        <f>K14</f>
        <v>45577</v>
      </c>
      <c r="L5" s="41"/>
      <c r="M5" s="40">
        <f>M14</f>
        <v>45578</v>
      </c>
      <c r="N5" s="41"/>
    </row>
    <row r="6" spans="1:14" ht="18" customHeight="1">
      <c r="A6" s="2" t="str">
        <f>IF(WEEKDAY($A$1,1)=startday,$A$1,"")</f>
        <v/>
      </c>
      <c r="B6" s="3"/>
      <c r="C6" s="2">
        <f>IF(A6="",IF(WEEKDAY($A$1,1)=MOD(startday,7)+1,$A$1,""),A6+1)</f>
        <v>45566</v>
      </c>
      <c r="D6" s="3"/>
      <c r="E6" s="2">
        <f>IF(C6="",IF(WEEKDAY($A$1,1)=MOD(startday,7)+2,$A$1,""),C6+1)</f>
        <v>45567</v>
      </c>
      <c r="F6" s="3"/>
      <c r="G6" s="2">
        <f>IF(E6="",IF(WEEKDAY($A$1,1)=MOD(startday,7)+3,$A$1,""),E6+1)</f>
        <v>45568</v>
      </c>
      <c r="H6" s="3"/>
      <c r="I6" s="2">
        <f>IF(G6="",IF(WEEKDAY($A$1,1)=MOD(startday,7)+4,$A$1,""),G6+1)</f>
        <v>45569</v>
      </c>
      <c r="J6" s="3"/>
      <c r="K6" s="4">
        <f>IF(I6="",IF(WEEKDAY($A$1,1)=MOD(startday,7)+5,$A$1,""),I6+1)</f>
        <v>45570</v>
      </c>
      <c r="L6" s="5"/>
      <c r="M6" s="4">
        <f>IF(K6="",IF(WEEKDAY($A$1,1)=MOD(startday+5,7)+1,$A$1,""),K6+1)</f>
        <v>45571</v>
      </c>
      <c r="N6" s="5"/>
    </row>
    <row r="7" spans="1:14" ht="14.1">
      <c r="A7" s="29"/>
      <c r="B7" s="20"/>
      <c r="C7" s="44"/>
      <c r="D7" s="20"/>
      <c r="E7" s="29"/>
      <c r="F7" s="20"/>
      <c r="G7" s="44"/>
      <c r="H7" s="20"/>
      <c r="I7" s="44" t="s">
        <v>105</v>
      </c>
      <c r="J7" s="20"/>
      <c r="K7" s="44" t="s">
        <v>105</v>
      </c>
      <c r="L7" s="20"/>
      <c r="M7" s="44" t="s">
        <v>105</v>
      </c>
      <c r="N7" s="20"/>
    </row>
    <row r="8" spans="1:14" ht="14.1">
      <c r="A8" s="27"/>
      <c r="B8" s="20"/>
      <c r="C8" s="26"/>
      <c r="D8" s="20"/>
      <c r="E8" s="26"/>
      <c r="F8" s="20"/>
      <c r="G8" s="26"/>
      <c r="H8" s="20"/>
      <c r="I8" s="26" t="s">
        <v>42</v>
      </c>
      <c r="J8" s="20"/>
      <c r="K8" s="26" t="s">
        <v>42</v>
      </c>
      <c r="L8" s="20"/>
      <c r="M8" s="26" t="s">
        <v>42</v>
      </c>
      <c r="N8" s="20"/>
    </row>
    <row r="9" spans="1:14" ht="14.1">
      <c r="A9" s="19"/>
      <c r="B9" s="20"/>
      <c r="C9" s="35"/>
      <c r="D9" s="20"/>
      <c r="E9" s="19"/>
      <c r="F9" s="20"/>
      <c r="G9" s="35"/>
      <c r="H9" s="20"/>
      <c r="I9" s="35" t="s">
        <v>9</v>
      </c>
      <c r="J9" s="20"/>
      <c r="K9" s="35" t="s">
        <v>31</v>
      </c>
      <c r="L9" s="20"/>
      <c r="M9" s="35" t="s">
        <v>31</v>
      </c>
      <c r="N9" s="20"/>
    </row>
    <row r="10" spans="1:14" ht="14.1">
      <c r="A10" s="21"/>
      <c r="B10" s="20"/>
      <c r="C10" s="30"/>
      <c r="D10" s="20"/>
      <c r="E10" s="30"/>
      <c r="F10" s="20"/>
      <c r="G10" s="30"/>
      <c r="H10" s="20"/>
      <c r="I10" s="30" t="s">
        <v>89</v>
      </c>
      <c r="J10" s="20"/>
      <c r="K10" s="30" t="s">
        <v>89</v>
      </c>
      <c r="L10" s="20"/>
      <c r="M10" s="30" t="s">
        <v>89</v>
      </c>
      <c r="N10" s="20"/>
    </row>
    <row r="11" spans="1:14" ht="14.1">
      <c r="A11" s="56"/>
      <c r="B11" s="20"/>
      <c r="C11" s="57"/>
      <c r="D11" s="20"/>
      <c r="E11" s="57"/>
      <c r="F11" s="20"/>
      <c r="G11" s="57"/>
      <c r="H11" s="20"/>
      <c r="I11" s="57" t="s">
        <v>43</v>
      </c>
      <c r="J11" s="20"/>
      <c r="K11" s="57" t="s">
        <v>43</v>
      </c>
      <c r="L11" s="20"/>
      <c r="M11" s="57" t="s">
        <v>43</v>
      </c>
      <c r="N11" s="20"/>
    </row>
    <row r="12" spans="1:14" ht="14.1">
      <c r="A12" s="23"/>
      <c r="B12" s="20"/>
      <c r="C12" s="22"/>
      <c r="D12" s="20"/>
      <c r="E12" s="23"/>
      <c r="F12" s="20"/>
      <c r="G12" s="22"/>
      <c r="H12" s="20"/>
      <c r="I12" s="22" t="s">
        <v>27</v>
      </c>
      <c r="J12" s="20"/>
      <c r="K12" s="22" t="s">
        <v>19</v>
      </c>
      <c r="L12" s="20"/>
      <c r="M12" s="22" t="s">
        <v>19</v>
      </c>
      <c r="N12" s="20"/>
    </row>
    <row r="13" spans="1:14" ht="18" customHeight="1">
      <c r="A13" s="25"/>
      <c r="B13" s="20"/>
      <c r="C13" s="31"/>
      <c r="D13" s="24"/>
      <c r="E13" s="31"/>
      <c r="F13" s="24"/>
      <c r="G13" s="31"/>
      <c r="H13" s="24"/>
      <c r="I13" s="31" t="s">
        <v>50</v>
      </c>
      <c r="J13" s="24"/>
      <c r="K13" s="31" t="s">
        <v>50</v>
      </c>
      <c r="L13" s="24"/>
      <c r="M13" s="31" t="s">
        <v>50</v>
      </c>
      <c r="N13" s="24"/>
    </row>
    <row r="14" spans="1:14" ht="18" customHeight="1">
      <c r="A14" s="2">
        <f>M6+1</f>
        <v>45572</v>
      </c>
      <c r="B14" s="3"/>
      <c r="C14" s="2">
        <f>A14+1</f>
        <v>45573</v>
      </c>
      <c r="D14" s="3"/>
      <c r="E14" s="2">
        <f>C14+1</f>
        <v>45574</v>
      </c>
      <c r="F14" s="3"/>
      <c r="G14" s="2">
        <f>E14+1</f>
        <v>45575</v>
      </c>
      <c r="H14" s="3"/>
      <c r="I14" s="2">
        <f>G14+1</f>
        <v>45576</v>
      </c>
      <c r="J14" s="3"/>
      <c r="K14" s="4">
        <f>I14+1</f>
        <v>45577</v>
      </c>
      <c r="L14" s="5"/>
      <c r="M14" s="4">
        <f>K14+1</f>
        <v>45578</v>
      </c>
      <c r="N14" s="5"/>
    </row>
    <row r="15" spans="1:14" ht="14.1">
      <c r="A15" s="29" t="s">
        <v>105</v>
      </c>
      <c r="B15" s="20"/>
      <c r="C15" s="29" t="s">
        <v>105</v>
      </c>
      <c r="D15" s="20"/>
      <c r="E15" s="29" t="s">
        <v>85</v>
      </c>
      <c r="F15" s="20"/>
      <c r="G15" s="29" t="s">
        <v>105</v>
      </c>
      <c r="H15" s="20"/>
      <c r="I15" s="44" t="s">
        <v>105</v>
      </c>
      <c r="J15" s="20"/>
      <c r="K15" s="44" t="s">
        <v>105</v>
      </c>
      <c r="L15" s="20"/>
      <c r="M15" s="44" t="s">
        <v>105</v>
      </c>
      <c r="N15" s="20"/>
    </row>
    <row r="16" spans="1:14" ht="14.1">
      <c r="A16" s="27" t="s">
        <v>42</v>
      </c>
      <c r="B16" s="20"/>
      <c r="C16" s="27" t="s">
        <v>42</v>
      </c>
      <c r="D16" s="20"/>
      <c r="E16" s="27" t="s">
        <v>42</v>
      </c>
      <c r="F16" s="20"/>
      <c r="G16" s="27" t="s">
        <v>42</v>
      </c>
      <c r="H16" s="20"/>
      <c r="I16" s="27" t="s">
        <v>42</v>
      </c>
      <c r="J16" s="20"/>
      <c r="K16" s="26" t="s">
        <v>16</v>
      </c>
      <c r="L16" s="20"/>
      <c r="M16" s="26" t="s">
        <v>16</v>
      </c>
      <c r="N16" s="20"/>
    </row>
    <row r="17" spans="1:14" ht="14.1">
      <c r="A17" s="19" t="s">
        <v>31</v>
      </c>
      <c r="B17" s="20"/>
      <c r="C17" s="19" t="s">
        <v>9</v>
      </c>
      <c r="D17" s="20"/>
      <c r="E17" s="19" t="s">
        <v>9</v>
      </c>
      <c r="F17" s="20"/>
      <c r="G17" s="19" t="s">
        <v>9</v>
      </c>
      <c r="H17" s="20"/>
      <c r="I17" s="19" t="s">
        <v>31</v>
      </c>
      <c r="J17" s="20"/>
      <c r="K17" s="35" t="s">
        <v>112</v>
      </c>
      <c r="L17" s="20"/>
      <c r="M17" s="35" t="s">
        <v>112</v>
      </c>
      <c r="N17" s="20"/>
    </row>
    <row r="18" spans="1:14" ht="14.1">
      <c r="A18" s="21" t="s">
        <v>89</v>
      </c>
      <c r="B18" s="20"/>
      <c r="C18" s="30" t="s">
        <v>15</v>
      </c>
      <c r="D18" s="20"/>
      <c r="E18" s="30" t="s">
        <v>15</v>
      </c>
      <c r="F18" s="20"/>
      <c r="G18" s="30" t="s">
        <v>24</v>
      </c>
      <c r="H18" s="20"/>
      <c r="I18" s="30" t="s">
        <v>24</v>
      </c>
      <c r="J18" s="20"/>
      <c r="K18" s="30" t="s">
        <v>24</v>
      </c>
      <c r="L18" s="20"/>
      <c r="M18" s="30" t="s">
        <v>24</v>
      </c>
      <c r="N18" s="20"/>
    </row>
    <row r="19" spans="1:14" ht="14.1">
      <c r="A19" s="56" t="s">
        <v>25</v>
      </c>
      <c r="B19" s="20"/>
      <c r="C19" s="56" t="s">
        <v>25</v>
      </c>
      <c r="D19" s="20"/>
      <c r="E19" s="56" t="s">
        <v>25</v>
      </c>
      <c r="F19" s="20"/>
      <c r="G19" s="56" t="s">
        <v>25</v>
      </c>
      <c r="H19" s="20"/>
      <c r="I19" s="56" t="s">
        <v>25</v>
      </c>
      <c r="J19" s="20"/>
      <c r="K19" s="56" t="s">
        <v>25</v>
      </c>
      <c r="L19" s="20"/>
      <c r="M19" s="56" t="s">
        <v>25</v>
      </c>
      <c r="N19" s="20"/>
    </row>
    <row r="20" spans="1:14" ht="14.1">
      <c r="A20" s="23" t="s">
        <v>113</v>
      </c>
      <c r="B20" s="20"/>
      <c r="C20" s="22" t="s">
        <v>27</v>
      </c>
      <c r="D20" s="20"/>
      <c r="E20" s="23" t="s">
        <v>26</v>
      </c>
      <c r="F20" s="20"/>
      <c r="G20" s="22" t="s">
        <v>27</v>
      </c>
      <c r="H20" s="20"/>
      <c r="I20" s="22" t="s">
        <v>114</v>
      </c>
      <c r="J20" s="20"/>
      <c r="K20" s="22" t="s">
        <v>17</v>
      </c>
      <c r="L20" s="20"/>
      <c r="M20" s="22" t="s">
        <v>17</v>
      </c>
      <c r="N20" s="20"/>
    </row>
    <row r="21" spans="1:14" ht="18" customHeight="1">
      <c r="A21" s="25" t="s">
        <v>50</v>
      </c>
      <c r="B21" s="20"/>
      <c r="C21" s="25" t="s">
        <v>50</v>
      </c>
      <c r="D21" s="20"/>
      <c r="E21" s="25" t="s">
        <v>63</v>
      </c>
      <c r="F21" s="20"/>
      <c r="G21" s="25" t="s">
        <v>50</v>
      </c>
      <c r="H21" s="20"/>
      <c r="I21" s="25" t="s">
        <v>63</v>
      </c>
      <c r="J21" s="20"/>
      <c r="K21" s="25" t="s">
        <v>74</v>
      </c>
      <c r="L21" s="20"/>
      <c r="M21" s="25" t="s">
        <v>74</v>
      </c>
      <c r="N21" s="20"/>
    </row>
    <row r="22" spans="1:14" ht="18" customHeight="1">
      <c r="A22" s="2">
        <f>M14+1</f>
        <v>45579</v>
      </c>
      <c r="B22" s="3"/>
      <c r="C22" s="2">
        <f>A22+1</f>
        <v>45580</v>
      </c>
      <c r="D22" s="3"/>
      <c r="E22" s="2">
        <f>C22+1</f>
        <v>45581</v>
      </c>
      <c r="F22" s="3"/>
      <c r="G22" s="2">
        <f>E22+1</f>
        <v>45582</v>
      </c>
      <c r="H22" s="3"/>
      <c r="I22" s="2">
        <f>G22+1</f>
        <v>45583</v>
      </c>
      <c r="J22" s="3"/>
      <c r="K22" s="4">
        <f>I22+1</f>
        <v>45584</v>
      </c>
      <c r="L22" s="5"/>
      <c r="M22" s="4">
        <f>K22+1</f>
        <v>45585</v>
      </c>
      <c r="N22" s="5"/>
    </row>
    <row r="23" spans="1:14" ht="14.1">
      <c r="A23" s="29" t="s">
        <v>85</v>
      </c>
      <c r="B23" s="20"/>
      <c r="C23" s="29" t="s">
        <v>24</v>
      </c>
      <c r="D23" s="20"/>
      <c r="E23" s="29" t="s">
        <v>24</v>
      </c>
      <c r="F23" s="20"/>
      <c r="G23" s="29" t="s">
        <v>24</v>
      </c>
      <c r="H23" s="20"/>
      <c r="I23" s="29" t="s">
        <v>53</v>
      </c>
      <c r="J23" s="20"/>
      <c r="K23" s="29" t="s">
        <v>9</v>
      </c>
      <c r="L23" s="20"/>
      <c r="M23" s="29" t="s">
        <v>9</v>
      </c>
      <c r="N23" s="20"/>
    </row>
    <row r="24" spans="1:14" ht="14.1">
      <c r="A24" s="27" t="s">
        <v>16</v>
      </c>
      <c r="B24" s="20"/>
      <c r="C24" s="27" t="s">
        <v>16</v>
      </c>
      <c r="D24" s="20"/>
      <c r="E24" s="27" t="s">
        <v>16</v>
      </c>
      <c r="F24" s="20"/>
      <c r="G24" s="27" t="s">
        <v>16</v>
      </c>
      <c r="H24" s="20"/>
      <c r="I24" s="26" t="s">
        <v>12</v>
      </c>
      <c r="J24" s="20"/>
      <c r="K24" s="26" t="s">
        <v>12</v>
      </c>
      <c r="L24" s="20"/>
      <c r="M24" s="26" t="s">
        <v>12</v>
      </c>
      <c r="N24" s="20"/>
    </row>
    <row r="25" spans="1:14" ht="14.1">
      <c r="A25" s="19" t="s">
        <v>59</v>
      </c>
      <c r="B25" s="20"/>
      <c r="C25" s="19" t="s">
        <v>59</v>
      </c>
      <c r="D25" s="20"/>
      <c r="E25" s="19" t="s">
        <v>59</v>
      </c>
      <c r="F25" s="20"/>
      <c r="G25" s="19" t="s">
        <v>59</v>
      </c>
      <c r="H25" s="20"/>
      <c r="I25" s="19" t="s">
        <v>40</v>
      </c>
      <c r="J25" s="20"/>
      <c r="K25" s="35" t="s">
        <v>115</v>
      </c>
      <c r="L25" s="20"/>
      <c r="M25" s="35" t="s">
        <v>115</v>
      </c>
      <c r="N25" s="20"/>
    </row>
    <row r="26" spans="1:14" ht="14.1">
      <c r="A26" s="21" t="s">
        <v>24</v>
      </c>
      <c r="B26" s="20"/>
      <c r="C26" s="21" t="s">
        <v>89</v>
      </c>
      <c r="D26" s="20"/>
      <c r="E26" s="21" t="s">
        <v>89</v>
      </c>
      <c r="F26" s="20"/>
      <c r="G26" s="21" t="s">
        <v>89</v>
      </c>
      <c r="H26" s="20"/>
      <c r="I26" s="21" t="s">
        <v>89</v>
      </c>
      <c r="J26" s="20"/>
      <c r="K26" s="21" t="s">
        <v>89</v>
      </c>
      <c r="L26" s="20"/>
      <c r="M26" s="21" t="s">
        <v>89</v>
      </c>
      <c r="N26" s="20"/>
    </row>
    <row r="27" spans="1:14" ht="14.1">
      <c r="A27" s="56" t="s">
        <v>13</v>
      </c>
      <c r="B27" s="20"/>
      <c r="C27" s="56" t="s">
        <v>13</v>
      </c>
      <c r="D27" s="20"/>
      <c r="E27" s="56" t="s">
        <v>13</v>
      </c>
      <c r="F27" s="20"/>
      <c r="G27" s="56" t="s">
        <v>13</v>
      </c>
      <c r="H27" s="20"/>
      <c r="I27" s="56" t="s">
        <v>13</v>
      </c>
      <c r="J27" s="20"/>
      <c r="K27" s="56" t="s">
        <v>13</v>
      </c>
      <c r="L27" s="20"/>
      <c r="M27" s="56" t="s">
        <v>13</v>
      </c>
      <c r="N27" s="20"/>
    </row>
    <row r="28" spans="1:14" ht="14.1">
      <c r="A28" s="23" t="s">
        <v>28</v>
      </c>
      <c r="B28" s="20"/>
      <c r="C28" s="22" t="s">
        <v>17</v>
      </c>
      <c r="D28" s="20"/>
      <c r="E28" s="23" t="s">
        <v>28</v>
      </c>
      <c r="F28" s="20"/>
      <c r="G28" s="22" t="s">
        <v>17</v>
      </c>
      <c r="H28" s="20"/>
      <c r="I28" s="22" t="s">
        <v>17</v>
      </c>
      <c r="J28" s="20"/>
      <c r="K28" s="22" t="s">
        <v>26</v>
      </c>
      <c r="L28" s="20"/>
      <c r="M28" s="22" t="s">
        <v>26</v>
      </c>
      <c r="N28" s="20"/>
    </row>
    <row r="29" spans="1:14" ht="18" customHeight="1">
      <c r="A29" s="25" t="s">
        <v>50</v>
      </c>
      <c r="B29" s="20"/>
      <c r="C29" s="25" t="s">
        <v>63</v>
      </c>
      <c r="D29" s="20"/>
      <c r="E29" s="25" t="s">
        <v>50</v>
      </c>
      <c r="F29" s="20"/>
      <c r="G29" s="25" t="s">
        <v>116</v>
      </c>
      <c r="H29" s="20"/>
      <c r="I29" s="25" t="s">
        <v>117</v>
      </c>
      <c r="J29" s="20"/>
      <c r="K29" s="25" t="s">
        <v>58</v>
      </c>
      <c r="L29" s="20"/>
      <c r="M29" s="25" t="s">
        <v>58</v>
      </c>
      <c r="N29" s="20"/>
    </row>
    <row r="30" spans="1:14" ht="18" customHeight="1">
      <c r="A30" s="4">
        <f>M22+1</f>
        <v>45586</v>
      </c>
      <c r="B30" s="5"/>
      <c r="C30" s="4">
        <f>A30+1</f>
        <v>45587</v>
      </c>
      <c r="D30" s="5"/>
      <c r="E30" s="4">
        <f>C30+1</f>
        <v>45588</v>
      </c>
      <c r="F30" s="5"/>
      <c r="G30" s="4">
        <f>E30+1</f>
        <v>45589</v>
      </c>
      <c r="H30" s="5"/>
      <c r="I30" s="4">
        <f>G30+1</f>
        <v>45590</v>
      </c>
      <c r="J30" s="5"/>
      <c r="K30" s="4">
        <f>I30+1</f>
        <v>45591</v>
      </c>
      <c r="L30" s="5"/>
      <c r="M30" s="4">
        <f>K30+1</f>
        <v>45592</v>
      </c>
      <c r="N30" s="5"/>
    </row>
    <row r="31" spans="1:14" ht="14.1">
      <c r="A31" s="29" t="s">
        <v>53</v>
      </c>
      <c r="B31" s="20"/>
      <c r="C31" s="29" t="s">
        <v>9</v>
      </c>
      <c r="D31" s="20"/>
      <c r="E31" s="29" t="s">
        <v>9</v>
      </c>
      <c r="F31" s="20"/>
      <c r="G31" s="29" t="s">
        <v>9</v>
      </c>
      <c r="H31" s="20"/>
      <c r="I31" s="44" t="s">
        <v>50</v>
      </c>
      <c r="J31" s="20"/>
      <c r="K31" s="44" t="s">
        <v>50</v>
      </c>
      <c r="L31" s="20"/>
      <c r="M31" s="44" t="s">
        <v>50</v>
      </c>
      <c r="N31" s="20"/>
    </row>
    <row r="32" spans="1:14" ht="14.1">
      <c r="A32" s="27" t="s">
        <v>12</v>
      </c>
      <c r="B32" s="20"/>
      <c r="C32" s="27" t="s">
        <v>12</v>
      </c>
      <c r="D32" s="20"/>
      <c r="E32" s="27" t="s">
        <v>12</v>
      </c>
      <c r="F32" s="20"/>
      <c r="G32" s="27" t="s">
        <v>12</v>
      </c>
      <c r="H32" s="20"/>
      <c r="I32" s="26" t="s">
        <v>51</v>
      </c>
      <c r="J32" s="20"/>
      <c r="K32" s="26" t="s">
        <v>51</v>
      </c>
      <c r="L32" s="20"/>
      <c r="M32" s="26" t="s">
        <v>51</v>
      </c>
      <c r="N32" s="20"/>
    </row>
    <row r="33" spans="1:14" ht="14.1">
      <c r="A33" s="19" t="s">
        <v>13</v>
      </c>
      <c r="B33" s="20"/>
      <c r="C33" s="19" t="s">
        <v>13</v>
      </c>
      <c r="D33" s="20"/>
      <c r="E33" s="19" t="s">
        <v>13</v>
      </c>
      <c r="F33" s="20"/>
      <c r="G33" s="19" t="s">
        <v>13</v>
      </c>
      <c r="H33" s="20"/>
      <c r="I33" s="19" t="s">
        <v>13</v>
      </c>
      <c r="J33" s="20"/>
      <c r="K33" s="35" t="s">
        <v>76</v>
      </c>
      <c r="L33" s="20"/>
      <c r="M33" s="35" t="s">
        <v>13</v>
      </c>
      <c r="N33" s="20"/>
    </row>
    <row r="34" spans="1:14" ht="14.1">
      <c r="A34" s="21" t="s">
        <v>24</v>
      </c>
      <c r="B34" s="20"/>
      <c r="C34" s="21" t="s">
        <v>24</v>
      </c>
      <c r="D34" s="20"/>
      <c r="E34" s="21" t="s">
        <v>24</v>
      </c>
      <c r="F34" s="20"/>
      <c r="G34" s="21" t="s">
        <v>15</v>
      </c>
      <c r="H34" s="20"/>
      <c r="I34" s="21" t="s">
        <v>15</v>
      </c>
      <c r="J34" s="20"/>
      <c r="K34" s="21" t="s">
        <v>15</v>
      </c>
      <c r="L34" s="20"/>
      <c r="M34" s="21" t="s">
        <v>15</v>
      </c>
      <c r="N34" s="20"/>
    </row>
    <row r="35" spans="1:14" ht="14.1">
      <c r="A35" s="56" t="s">
        <v>16</v>
      </c>
      <c r="B35" s="20"/>
      <c r="C35" s="56" t="s">
        <v>16</v>
      </c>
      <c r="D35" s="20"/>
      <c r="E35" s="56" t="s">
        <v>16</v>
      </c>
      <c r="F35" s="20"/>
      <c r="G35" s="56" t="s">
        <v>16</v>
      </c>
      <c r="H35" s="20"/>
      <c r="I35" s="56" t="s">
        <v>16</v>
      </c>
      <c r="J35" s="20"/>
      <c r="K35" s="56" t="s">
        <v>16</v>
      </c>
      <c r="L35" s="20"/>
      <c r="M35" s="56" t="s">
        <v>16</v>
      </c>
      <c r="N35" s="20"/>
    </row>
    <row r="36" spans="1:14" ht="14.1">
      <c r="A36" s="23" t="s">
        <v>28</v>
      </c>
      <c r="B36" s="20"/>
      <c r="C36" s="22" t="s">
        <v>27</v>
      </c>
      <c r="D36" s="20"/>
      <c r="E36" s="23" t="s">
        <v>28</v>
      </c>
      <c r="F36" s="20"/>
      <c r="G36" s="22" t="s">
        <v>27</v>
      </c>
      <c r="H36" s="20"/>
      <c r="I36" s="22" t="s">
        <v>71</v>
      </c>
      <c r="J36" s="20"/>
      <c r="K36" s="22" t="s">
        <v>36</v>
      </c>
      <c r="L36" s="20"/>
      <c r="M36" s="22" t="s">
        <v>36</v>
      </c>
      <c r="N36" s="20"/>
    </row>
    <row r="37" spans="1:14" ht="18" customHeight="1">
      <c r="A37" s="25" t="s">
        <v>30</v>
      </c>
      <c r="B37" s="20"/>
      <c r="C37" s="25" t="s">
        <v>30</v>
      </c>
      <c r="D37" s="20"/>
      <c r="E37" s="25" t="s">
        <v>30</v>
      </c>
      <c r="F37" s="20"/>
      <c r="G37" s="25" t="s">
        <v>30</v>
      </c>
      <c r="H37" s="20"/>
      <c r="I37" s="25" t="s">
        <v>29</v>
      </c>
      <c r="J37" s="20"/>
      <c r="K37" s="25" t="s">
        <v>77</v>
      </c>
      <c r="L37" s="20"/>
      <c r="M37" s="25" t="s">
        <v>30</v>
      </c>
      <c r="N37" s="20"/>
    </row>
    <row r="38" spans="1:14" ht="18" customHeight="1">
      <c r="A38" s="4">
        <f>IF(M30="","",IF(MONTH(M30+1)&lt;&gt;MONTH($A$1),"",M30+1))</f>
        <v>45593</v>
      </c>
      <c r="B38" s="5"/>
      <c r="C38" s="9">
        <v>26</v>
      </c>
      <c r="D38" s="5"/>
      <c r="E38" s="9">
        <v>27</v>
      </c>
      <c r="F38" s="5"/>
      <c r="G38" s="9">
        <v>28</v>
      </c>
      <c r="H38" s="5"/>
      <c r="I38" s="9">
        <v>29</v>
      </c>
      <c r="J38" s="5"/>
      <c r="K38" s="9">
        <v>30</v>
      </c>
      <c r="L38" s="5"/>
      <c r="M38" s="9">
        <v>31</v>
      </c>
      <c r="N38" s="5"/>
    </row>
    <row r="39" spans="1:14" ht="14.1">
      <c r="A39" s="29" t="s">
        <v>52</v>
      </c>
      <c r="B39" s="20"/>
      <c r="C39" s="29" t="s">
        <v>50</v>
      </c>
      <c r="D39" s="20"/>
      <c r="E39" s="29" t="s">
        <v>52</v>
      </c>
      <c r="F39" s="20"/>
      <c r="G39" s="29" t="s">
        <v>50</v>
      </c>
      <c r="H39" s="20"/>
      <c r="I39" s="44" t="s">
        <v>24</v>
      </c>
      <c r="J39" s="20"/>
      <c r="K39" s="44" t="s">
        <v>24</v>
      </c>
      <c r="L39" s="20"/>
      <c r="M39" s="44" t="s">
        <v>24</v>
      </c>
      <c r="N39" s="20"/>
    </row>
    <row r="40" spans="1:14" ht="14.1">
      <c r="A40" s="27" t="s">
        <v>51</v>
      </c>
      <c r="B40" s="20"/>
      <c r="C40" s="27" t="s">
        <v>51</v>
      </c>
      <c r="D40" s="20"/>
      <c r="E40" s="27" t="s">
        <v>51</v>
      </c>
      <c r="F40" s="20"/>
      <c r="G40" s="27" t="s">
        <v>51</v>
      </c>
      <c r="H40" s="20"/>
      <c r="I40" s="26" t="s">
        <v>59</v>
      </c>
      <c r="J40" s="20"/>
      <c r="K40" s="26" t="s">
        <v>59</v>
      </c>
      <c r="L40" s="20"/>
      <c r="M40" s="26" t="s">
        <v>59</v>
      </c>
      <c r="N40" s="20"/>
    </row>
    <row r="41" spans="1:14" ht="14.1">
      <c r="A41" s="19" t="s">
        <v>9</v>
      </c>
      <c r="B41" s="20"/>
      <c r="C41" s="19" t="s">
        <v>9</v>
      </c>
      <c r="D41" s="20"/>
      <c r="E41" s="19" t="s">
        <v>9</v>
      </c>
      <c r="F41" s="20"/>
      <c r="G41" s="19" t="s">
        <v>9</v>
      </c>
      <c r="H41" s="20"/>
      <c r="I41" s="19" t="s">
        <v>9</v>
      </c>
      <c r="J41" s="20"/>
      <c r="K41" s="35" t="s">
        <v>14</v>
      </c>
      <c r="L41" s="20"/>
      <c r="M41" s="35" t="s">
        <v>118</v>
      </c>
      <c r="N41" s="20"/>
    </row>
    <row r="42" spans="1:14" ht="14.1">
      <c r="A42" s="21" t="s">
        <v>15</v>
      </c>
      <c r="B42" s="20"/>
      <c r="C42" s="21" t="s">
        <v>24</v>
      </c>
      <c r="D42" s="20"/>
      <c r="E42" s="21" t="s">
        <v>24</v>
      </c>
      <c r="F42" s="20"/>
      <c r="G42" s="21" t="s">
        <v>24</v>
      </c>
      <c r="H42" s="20"/>
      <c r="I42" s="30" t="s">
        <v>15</v>
      </c>
      <c r="J42" s="20"/>
      <c r="K42" s="30" t="s">
        <v>15</v>
      </c>
      <c r="L42" s="20"/>
      <c r="M42" s="30" t="s">
        <v>15</v>
      </c>
      <c r="N42" s="20"/>
    </row>
    <row r="43" spans="1:14" ht="14.1">
      <c r="A43" s="56" t="s">
        <v>13</v>
      </c>
      <c r="B43" s="20"/>
      <c r="C43" s="56" t="s">
        <v>13</v>
      </c>
      <c r="D43" s="20"/>
      <c r="E43" s="56" t="s">
        <v>13</v>
      </c>
      <c r="F43" s="20"/>
      <c r="G43" s="56" t="s">
        <v>13</v>
      </c>
      <c r="H43" s="20"/>
      <c r="I43" s="56" t="s">
        <v>13</v>
      </c>
      <c r="J43" s="20"/>
      <c r="K43" s="56" t="s">
        <v>13</v>
      </c>
      <c r="L43" s="20"/>
      <c r="M43" s="56" t="s">
        <v>13</v>
      </c>
      <c r="N43" s="20"/>
    </row>
    <row r="44" spans="1:14" ht="14.1">
      <c r="A44" s="23" t="s">
        <v>28</v>
      </c>
      <c r="B44" s="20"/>
      <c r="C44" s="22" t="s">
        <v>17</v>
      </c>
      <c r="D44" s="20"/>
      <c r="E44" s="23" t="s">
        <v>84</v>
      </c>
      <c r="F44" s="20"/>
      <c r="G44" s="22" t="s">
        <v>17</v>
      </c>
      <c r="H44" s="20"/>
      <c r="I44" s="22" t="s">
        <v>17</v>
      </c>
      <c r="J44" s="20"/>
      <c r="K44" s="22" t="s">
        <v>26</v>
      </c>
      <c r="L44" s="20"/>
      <c r="M44" s="22" t="s">
        <v>26</v>
      </c>
      <c r="N44" s="20"/>
    </row>
    <row r="45" spans="1:14" ht="18" customHeight="1">
      <c r="A45" s="25" t="s">
        <v>77</v>
      </c>
      <c r="B45" s="20"/>
      <c r="C45" s="31" t="s">
        <v>29</v>
      </c>
      <c r="D45" s="24"/>
      <c r="E45" s="25" t="s">
        <v>29</v>
      </c>
      <c r="F45" s="20"/>
      <c r="G45" s="31" t="s">
        <v>29</v>
      </c>
      <c r="H45" s="24"/>
      <c r="I45" s="31" t="s">
        <v>29</v>
      </c>
      <c r="J45" s="24"/>
      <c r="K45" s="31" t="s">
        <v>41</v>
      </c>
      <c r="L45" s="24"/>
      <c r="M45" s="31" t="s">
        <v>41</v>
      </c>
      <c r="N45" s="24"/>
    </row>
    <row r="46" spans="1:14" ht="18" customHeight="1">
      <c r="A46" s="2" t="str">
        <f>IF(M38="","",IF(MONTH(M38+1)&lt;&gt;MONTH($A$1),"",M38+1))</f>
        <v/>
      </c>
      <c r="B46" s="3"/>
      <c r="C46" s="2" t="str">
        <f>IF(A46="","",IF(MONTH(A46+1)&lt;&gt;MONTH($A$1),"",A46+1))</f>
        <v/>
      </c>
      <c r="D46" s="3"/>
      <c r="E46" s="46" t="s">
        <v>22</v>
      </c>
      <c r="F46" s="47"/>
      <c r="G46" s="48"/>
      <c r="H46" s="47"/>
      <c r="I46" s="47"/>
      <c r="J46" s="47"/>
      <c r="K46" s="47"/>
      <c r="L46" s="47"/>
      <c r="M46" s="47"/>
      <c r="N46" s="49"/>
    </row>
    <row r="47" spans="1:14" ht="14.1">
      <c r="A47" s="29"/>
      <c r="B47" s="20"/>
      <c r="C47" s="44"/>
      <c r="D47" s="20"/>
      <c r="E47" s="45" t="s">
        <v>119</v>
      </c>
      <c r="F47" s="37"/>
      <c r="G47" s="37"/>
      <c r="H47" s="37"/>
      <c r="I47" s="37"/>
      <c r="J47" s="37"/>
      <c r="K47" s="37"/>
      <c r="L47" s="37"/>
      <c r="M47" s="37"/>
      <c r="N47" s="20"/>
    </row>
    <row r="48" spans="1:14" ht="14.1">
      <c r="A48" s="27"/>
      <c r="B48" s="20"/>
      <c r="C48" s="26"/>
      <c r="D48" s="20"/>
      <c r="E48" s="45" t="s">
        <v>120</v>
      </c>
      <c r="F48" s="37"/>
      <c r="G48" s="37"/>
      <c r="H48" s="37"/>
      <c r="I48" s="37"/>
      <c r="J48" s="37"/>
      <c r="K48" s="37"/>
      <c r="L48" s="37"/>
      <c r="M48" s="37"/>
      <c r="N48" s="20"/>
    </row>
    <row r="49" spans="1:14" ht="14.1">
      <c r="A49" s="19"/>
      <c r="B49" s="20"/>
      <c r="C49" s="35"/>
      <c r="D49" s="20"/>
      <c r="E49" s="45" t="s">
        <v>121</v>
      </c>
      <c r="F49" s="37"/>
      <c r="G49" s="37"/>
      <c r="H49" s="37"/>
      <c r="I49" s="37"/>
      <c r="J49" s="37"/>
      <c r="K49" s="37"/>
      <c r="L49" s="37"/>
      <c r="M49" s="37"/>
      <c r="N49" s="20"/>
    </row>
    <row r="50" spans="1:14" ht="14.1">
      <c r="A50" s="21"/>
      <c r="B50" s="20"/>
      <c r="C50" s="30"/>
      <c r="D50" s="20"/>
      <c r="E50" s="6"/>
      <c r="F50" s="7"/>
      <c r="G50" s="7"/>
      <c r="H50" s="7"/>
      <c r="I50" s="7"/>
      <c r="J50" s="7"/>
      <c r="K50" s="7"/>
      <c r="L50" s="7"/>
      <c r="M50" s="7"/>
      <c r="N50" s="8"/>
    </row>
    <row r="51" spans="1:14" ht="14.1">
      <c r="A51" s="56"/>
      <c r="B51" s="20"/>
      <c r="C51" s="57"/>
      <c r="D51" s="20"/>
      <c r="E51" s="6"/>
      <c r="F51" s="7"/>
      <c r="G51" s="7"/>
      <c r="H51" s="7"/>
      <c r="I51" s="7"/>
      <c r="J51" s="7"/>
      <c r="K51" s="7"/>
      <c r="L51" s="7"/>
      <c r="M51" s="7"/>
      <c r="N51" s="8"/>
    </row>
    <row r="52" spans="1:14" ht="14.1">
      <c r="A52" s="23"/>
      <c r="B52" s="20"/>
      <c r="C52" s="22"/>
      <c r="D52" s="20"/>
      <c r="E52" s="6"/>
      <c r="F52" s="7"/>
      <c r="G52" s="7"/>
      <c r="H52" s="7"/>
      <c r="I52" s="7"/>
      <c r="J52" s="7"/>
      <c r="K52" s="7"/>
      <c r="L52" s="7"/>
      <c r="M52" s="7"/>
      <c r="N52" s="8"/>
    </row>
    <row r="53" spans="1:14" ht="14.1">
      <c r="A53" s="25"/>
      <c r="B53" s="20"/>
      <c r="C53" s="31"/>
      <c r="D53" s="24"/>
      <c r="E53" s="32" t="s">
        <v>23</v>
      </c>
      <c r="F53" s="33"/>
      <c r="G53" s="33"/>
      <c r="H53" s="33"/>
      <c r="I53" s="34" t="str">
        <f>HYPERLINK("https://www.vertex42.com/calendars/academic-calendar.html","https://www.vertex42.com/calendars/academic-calendar.html")</f>
        <v>https://www.vertex42.com/calendars/academic-calendar.html</v>
      </c>
      <c r="J53" s="33"/>
      <c r="K53" s="33"/>
      <c r="L53" s="33"/>
      <c r="M53" s="33"/>
      <c r="N53" s="24"/>
    </row>
  </sheetData>
  <mergeCells count="283">
    <mergeCell ref="C42:D42"/>
    <mergeCell ref="E42:F42"/>
    <mergeCell ref="G42:H42"/>
    <mergeCell ref="I42:J42"/>
    <mergeCell ref="K42:L42"/>
    <mergeCell ref="M42:N42"/>
    <mergeCell ref="A42:B42"/>
    <mergeCell ref="C43:D43"/>
    <mergeCell ref="E43:F43"/>
    <mergeCell ref="G43:H43"/>
    <mergeCell ref="I43:J43"/>
    <mergeCell ref="K43:L43"/>
    <mergeCell ref="M43:N43"/>
    <mergeCell ref="A43:B43"/>
    <mergeCell ref="C40:D40"/>
    <mergeCell ref="E40:F40"/>
    <mergeCell ref="G40:H40"/>
    <mergeCell ref="I40:J40"/>
    <mergeCell ref="K40:L40"/>
    <mergeCell ref="M40:N40"/>
    <mergeCell ref="A40:B40"/>
    <mergeCell ref="C41:D41"/>
    <mergeCell ref="E41:F41"/>
    <mergeCell ref="G41:H41"/>
    <mergeCell ref="I41:J41"/>
    <mergeCell ref="K41:L41"/>
    <mergeCell ref="M41:N41"/>
    <mergeCell ref="A41:B41"/>
    <mergeCell ref="C35:D35"/>
    <mergeCell ref="E35:F35"/>
    <mergeCell ref="G35:H35"/>
    <mergeCell ref="I35:J35"/>
    <mergeCell ref="K35:L35"/>
    <mergeCell ref="M35:N35"/>
    <mergeCell ref="A35:B35"/>
    <mergeCell ref="C36:D36"/>
    <mergeCell ref="E36:F36"/>
    <mergeCell ref="G36:H36"/>
    <mergeCell ref="I36:J36"/>
    <mergeCell ref="K36:L36"/>
    <mergeCell ref="M36:N36"/>
    <mergeCell ref="A36:B36"/>
    <mergeCell ref="C33:D33"/>
    <mergeCell ref="E33:F33"/>
    <mergeCell ref="G33:H33"/>
    <mergeCell ref="I33:J33"/>
    <mergeCell ref="K33:L33"/>
    <mergeCell ref="M33:N33"/>
    <mergeCell ref="A33:B33"/>
    <mergeCell ref="C34:D34"/>
    <mergeCell ref="E34:F34"/>
    <mergeCell ref="G34:H34"/>
    <mergeCell ref="I34:J34"/>
    <mergeCell ref="K34:L34"/>
    <mergeCell ref="M34:N34"/>
    <mergeCell ref="A34:B34"/>
    <mergeCell ref="C31:D31"/>
    <mergeCell ref="E31:F31"/>
    <mergeCell ref="G31:H31"/>
    <mergeCell ref="I31:J31"/>
    <mergeCell ref="K31:L31"/>
    <mergeCell ref="M31:N31"/>
    <mergeCell ref="A31:B31"/>
    <mergeCell ref="C32:D32"/>
    <mergeCell ref="E32:F32"/>
    <mergeCell ref="G32:H32"/>
    <mergeCell ref="I32:J32"/>
    <mergeCell ref="K32:L32"/>
    <mergeCell ref="M32:N32"/>
    <mergeCell ref="A32:B32"/>
    <mergeCell ref="C28:D28"/>
    <mergeCell ref="E28:F28"/>
    <mergeCell ref="G28:H28"/>
    <mergeCell ref="I28:J28"/>
    <mergeCell ref="K28:L28"/>
    <mergeCell ref="M28:N28"/>
    <mergeCell ref="A28:B28"/>
    <mergeCell ref="C29:D29"/>
    <mergeCell ref="E29:F29"/>
    <mergeCell ref="G29:H29"/>
    <mergeCell ref="I29:J29"/>
    <mergeCell ref="K29:L29"/>
    <mergeCell ref="M29:N29"/>
    <mergeCell ref="A29:B29"/>
    <mergeCell ref="C21:D21"/>
    <mergeCell ref="E21:F21"/>
    <mergeCell ref="G21:H21"/>
    <mergeCell ref="I21:J21"/>
    <mergeCell ref="K21:L21"/>
    <mergeCell ref="M21:N21"/>
    <mergeCell ref="A21:B21"/>
    <mergeCell ref="C23:D23"/>
    <mergeCell ref="E23:F23"/>
    <mergeCell ref="G23:H23"/>
    <mergeCell ref="I23:J23"/>
    <mergeCell ref="K23:L23"/>
    <mergeCell ref="M23:N23"/>
    <mergeCell ref="A23:B23"/>
    <mergeCell ref="A52:B52"/>
    <mergeCell ref="C52:D52"/>
    <mergeCell ref="A53:B53"/>
    <mergeCell ref="C53:D53"/>
    <mergeCell ref="E53:H53"/>
    <mergeCell ref="I53:N53"/>
    <mergeCell ref="A49:B49"/>
    <mergeCell ref="C49:D49"/>
    <mergeCell ref="E49:N49"/>
    <mergeCell ref="A50:B50"/>
    <mergeCell ref="C50:D50"/>
    <mergeCell ref="A51:B51"/>
    <mergeCell ref="C51:D51"/>
    <mergeCell ref="C8:D8"/>
    <mergeCell ref="E8:F8"/>
    <mergeCell ref="G8:H8"/>
    <mergeCell ref="I8:J8"/>
    <mergeCell ref="K8:L8"/>
    <mergeCell ref="M8:N8"/>
    <mergeCell ref="A8:B8"/>
    <mergeCell ref="C9:D9"/>
    <mergeCell ref="E9:F9"/>
    <mergeCell ref="G9:H9"/>
    <mergeCell ref="I9:J9"/>
    <mergeCell ref="K9:L9"/>
    <mergeCell ref="M9:N9"/>
    <mergeCell ref="A9:B9"/>
    <mergeCell ref="C5:D5"/>
    <mergeCell ref="E5:F5"/>
    <mergeCell ref="G5:H5"/>
    <mergeCell ref="I5:J5"/>
    <mergeCell ref="K5:L5"/>
    <mergeCell ref="M5:N5"/>
    <mergeCell ref="A5:B5"/>
    <mergeCell ref="C7:D7"/>
    <mergeCell ref="E7:F7"/>
    <mergeCell ref="G7:H7"/>
    <mergeCell ref="I7:J7"/>
    <mergeCell ref="K7:L7"/>
    <mergeCell ref="M7:N7"/>
    <mergeCell ref="A7:B7"/>
    <mergeCell ref="K3:L3"/>
    <mergeCell ref="M3:N3"/>
    <mergeCell ref="A1:N1"/>
    <mergeCell ref="A2:N2"/>
    <mergeCell ref="C3:D3"/>
    <mergeCell ref="E3:F3"/>
    <mergeCell ref="G3:H3"/>
    <mergeCell ref="I3:J3"/>
    <mergeCell ref="A4:N4"/>
    <mergeCell ref="A3:B3"/>
    <mergeCell ref="C48:D48"/>
    <mergeCell ref="E48:N48"/>
    <mergeCell ref="E45:F45"/>
    <mergeCell ref="E46:F46"/>
    <mergeCell ref="G46:N46"/>
    <mergeCell ref="A47:B47"/>
    <mergeCell ref="C47:D47"/>
    <mergeCell ref="E47:N47"/>
    <mergeCell ref="A48:B48"/>
    <mergeCell ref="C44:D44"/>
    <mergeCell ref="E44:F44"/>
    <mergeCell ref="G44:H44"/>
    <mergeCell ref="I44:J44"/>
    <mergeCell ref="K44:L44"/>
    <mergeCell ref="M44:N44"/>
    <mergeCell ref="A44:B44"/>
    <mergeCell ref="A45:B45"/>
    <mergeCell ref="C45:D45"/>
    <mergeCell ref="G45:H45"/>
    <mergeCell ref="I45:J45"/>
    <mergeCell ref="K45:L45"/>
    <mergeCell ref="M45:N45"/>
    <mergeCell ref="C37:D37"/>
    <mergeCell ref="E37:F37"/>
    <mergeCell ref="G37:H37"/>
    <mergeCell ref="I37:J37"/>
    <mergeCell ref="K37:L37"/>
    <mergeCell ref="M37:N37"/>
    <mergeCell ref="A37:B37"/>
    <mergeCell ref="C39:D39"/>
    <mergeCell ref="E39:F39"/>
    <mergeCell ref="G39:H39"/>
    <mergeCell ref="I39:J39"/>
    <mergeCell ref="K39:L39"/>
    <mergeCell ref="M39:N39"/>
    <mergeCell ref="A39:B39"/>
    <mergeCell ref="C26:D26"/>
    <mergeCell ref="E26:F26"/>
    <mergeCell ref="G26:H26"/>
    <mergeCell ref="I26:J26"/>
    <mergeCell ref="K26:L26"/>
    <mergeCell ref="M26:N26"/>
    <mergeCell ref="A26:B26"/>
    <mergeCell ref="C27:D27"/>
    <mergeCell ref="E27:F27"/>
    <mergeCell ref="G27:H27"/>
    <mergeCell ref="I27:J27"/>
    <mergeCell ref="K27:L27"/>
    <mergeCell ref="M27:N27"/>
    <mergeCell ref="A27:B27"/>
    <mergeCell ref="C24:D24"/>
    <mergeCell ref="E24:F24"/>
    <mergeCell ref="G24:H24"/>
    <mergeCell ref="I24:J24"/>
    <mergeCell ref="K24:L24"/>
    <mergeCell ref="M24:N24"/>
    <mergeCell ref="A24:B24"/>
    <mergeCell ref="C25:D25"/>
    <mergeCell ref="E25:F25"/>
    <mergeCell ref="G25:H25"/>
    <mergeCell ref="I25:J25"/>
    <mergeCell ref="K25:L25"/>
    <mergeCell ref="M25:N25"/>
    <mergeCell ref="A25:B25"/>
    <mergeCell ref="C19:D19"/>
    <mergeCell ref="E19:F19"/>
    <mergeCell ref="G19:H19"/>
    <mergeCell ref="I19:J19"/>
    <mergeCell ref="K19:L19"/>
    <mergeCell ref="M19:N19"/>
    <mergeCell ref="A19:B19"/>
    <mergeCell ref="C20:D20"/>
    <mergeCell ref="E20:F20"/>
    <mergeCell ref="G20:H20"/>
    <mergeCell ref="I20:J20"/>
    <mergeCell ref="K20:L20"/>
    <mergeCell ref="M20:N20"/>
    <mergeCell ref="A20:B20"/>
    <mergeCell ref="C17:D17"/>
    <mergeCell ref="E17:F17"/>
    <mergeCell ref="G17:H17"/>
    <mergeCell ref="I17:J17"/>
    <mergeCell ref="K17:L17"/>
    <mergeCell ref="M17:N17"/>
    <mergeCell ref="A17:B17"/>
    <mergeCell ref="C18:D18"/>
    <mergeCell ref="E18:F18"/>
    <mergeCell ref="G18:H18"/>
    <mergeCell ref="I18:J18"/>
    <mergeCell ref="K18:L18"/>
    <mergeCell ref="M18:N18"/>
    <mergeCell ref="A18:B18"/>
    <mergeCell ref="C15:D15"/>
    <mergeCell ref="E15:F15"/>
    <mergeCell ref="G15:H15"/>
    <mergeCell ref="I15:J15"/>
    <mergeCell ref="K15:L15"/>
    <mergeCell ref="M15:N15"/>
    <mergeCell ref="A15:B15"/>
    <mergeCell ref="C16:D16"/>
    <mergeCell ref="E16:F16"/>
    <mergeCell ref="G16:H16"/>
    <mergeCell ref="I16:J16"/>
    <mergeCell ref="K16:L16"/>
    <mergeCell ref="M16:N16"/>
    <mergeCell ref="A16:B16"/>
    <mergeCell ref="C12:D12"/>
    <mergeCell ref="E12:F12"/>
    <mergeCell ref="G12:H12"/>
    <mergeCell ref="I12:J12"/>
    <mergeCell ref="K12:L12"/>
    <mergeCell ref="M12:N12"/>
    <mergeCell ref="A12:B12"/>
    <mergeCell ref="C13:D13"/>
    <mergeCell ref="E13:F13"/>
    <mergeCell ref="G13:H13"/>
    <mergeCell ref="I13:J13"/>
    <mergeCell ref="K13:L13"/>
    <mergeCell ref="M13:N13"/>
    <mergeCell ref="A13:B13"/>
    <mergeCell ref="C10:D10"/>
    <mergeCell ref="E10:F10"/>
    <mergeCell ref="G10:H10"/>
    <mergeCell ref="I10:J10"/>
    <mergeCell ref="K10:L10"/>
    <mergeCell ref="M10:N10"/>
    <mergeCell ref="A10:B10"/>
    <mergeCell ref="C11:D11"/>
    <mergeCell ref="E11:F11"/>
    <mergeCell ref="G11:H11"/>
    <mergeCell ref="I11:J11"/>
    <mergeCell ref="K11:L11"/>
    <mergeCell ref="M11:N11"/>
    <mergeCell ref="A11:B11"/>
  </mergeCells>
  <printOptions horizontalCentered="1" gridLines="1"/>
  <pageMargins left="0.25" right="0.25" top="0.5" bottom="0.5" header="0" footer="0"/>
  <pageSetup pageOrder="overThenDown" orientation="landscape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  <pageSetUpPr fitToPage="1"/>
  </sheetPr>
  <dimension ref="A1:N53"/>
  <sheetViews>
    <sheetView showGridLines="0" topLeftCell="A2" workbookViewId="0"/>
  </sheetViews>
  <sheetFormatPr defaultColWidth="12.5703125" defaultRowHeight="12.75" customHeight="1"/>
  <cols>
    <col min="1" max="1" width="3.85546875" customWidth="1"/>
    <col min="2" max="2" width="13.42578125" customWidth="1"/>
    <col min="3" max="3" width="3.85546875" customWidth="1"/>
    <col min="4" max="4" width="13.42578125" customWidth="1"/>
    <col min="5" max="5" width="3.85546875" customWidth="1"/>
    <col min="6" max="6" width="13.42578125" customWidth="1"/>
    <col min="7" max="7" width="3.85546875" customWidth="1"/>
    <col min="8" max="8" width="13.42578125" customWidth="1"/>
    <col min="9" max="9" width="3.85546875" customWidth="1"/>
    <col min="10" max="10" width="13.42578125" customWidth="1"/>
    <col min="11" max="11" width="3.85546875" customWidth="1"/>
    <col min="12" max="12" width="13.42578125" customWidth="1"/>
    <col min="13" max="13" width="3.85546875" customWidth="1"/>
    <col min="14" max="14" width="13.42578125" customWidth="1"/>
  </cols>
  <sheetData>
    <row r="1" spans="1:14" ht="18" hidden="1" customHeight="1">
      <c r="A1" s="52">
        <f>EDATE('©'!A17,16)</f>
        <v>45597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4" ht="18" customHeight="1">
      <c r="A2" s="39" t="s">
        <v>122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1:14" ht="18" customHeight="1">
      <c r="A3" s="29" t="s">
        <v>2</v>
      </c>
      <c r="B3" s="37"/>
      <c r="C3" s="27" t="s">
        <v>3</v>
      </c>
      <c r="D3" s="37"/>
      <c r="E3" s="19" t="s">
        <v>4</v>
      </c>
      <c r="F3" s="37"/>
      <c r="G3" s="21" t="s">
        <v>5</v>
      </c>
      <c r="H3" s="37"/>
      <c r="I3" s="56" t="s">
        <v>6</v>
      </c>
      <c r="J3" s="37"/>
      <c r="K3" s="23" t="s">
        <v>7</v>
      </c>
      <c r="L3" s="37"/>
      <c r="M3" s="25" t="s">
        <v>8</v>
      </c>
      <c r="N3" s="37"/>
    </row>
    <row r="4" spans="1:14" ht="60.75" customHeight="1">
      <c r="A4" s="42" t="str">
        <f>UPPER(TEXT(A1,"mmmm yyyy"))</f>
        <v>NOVEMBER 2024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</row>
    <row r="5" spans="1:14" ht="15" customHeight="1">
      <c r="A5" s="40">
        <f>A14</f>
        <v>45600</v>
      </c>
      <c r="B5" s="41"/>
      <c r="C5" s="40">
        <f>C14</f>
        <v>45601</v>
      </c>
      <c r="D5" s="41"/>
      <c r="E5" s="40">
        <f>E14</f>
        <v>45602</v>
      </c>
      <c r="F5" s="41"/>
      <c r="G5" s="40">
        <f>G14</f>
        <v>45603</v>
      </c>
      <c r="H5" s="41"/>
      <c r="I5" s="40">
        <f>I14</f>
        <v>45604</v>
      </c>
      <c r="J5" s="41"/>
      <c r="K5" s="40">
        <f>K14</f>
        <v>45605</v>
      </c>
      <c r="L5" s="41"/>
      <c r="M5" s="40">
        <f>M14</f>
        <v>45606</v>
      </c>
      <c r="N5" s="41"/>
    </row>
    <row r="6" spans="1:14" ht="18" customHeight="1">
      <c r="A6" s="2" t="str">
        <f>IF(WEEKDAY($A$1,1)=startday,$A$1,"")</f>
        <v/>
      </c>
      <c r="B6" s="3"/>
      <c r="C6" s="2" t="str">
        <f>IF(A6="",IF(WEEKDAY($A$1,1)=MOD(startday,7)+1,$A$1,""),A6+1)</f>
        <v/>
      </c>
      <c r="D6" s="3"/>
      <c r="E6" s="2" t="str">
        <f>IF(C6="",IF(WEEKDAY($A$1,1)=MOD(startday,7)+2,$A$1,""),C6+1)</f>
        <v/>
      </c>
      <c r="F6" s="3"/>
      <c r="G6" s="2" t="str">
        <f>IF(E6="",IF(WEEKDAY($A$1,1)=MOD(startday,7)+3,$A$1,""),E6+1)</f>
        <v/>
      </c>
      <c r="H6" s="3"/>
      <c r="I6" s="2">
        <f>IF(G6="",IF(WEEKDAY($A$1,1)=MOD(startday,7)+4,$A$1,""),G6+1)</f>
        <v>45597</v>
      </c>
      <c r="J6" s="3"/>
      <c r="K6" s="4">
        <f>IF(I6="",IF(WEEKDAY($A$1,1)=MOD(startday,7)+5,$A$1,""),I6+1)</f>
        <v>45598</v>
      </c>
      <c r="L6" s="5"/>
      <c r="M6" s="4">
        <f>IF(K6="",IF(WEEKDAY($A$1,1)=MOD(startday+5,7)+1,$A$1,""),K6+1)</f>
        <v>45599</v>
      </c>
      <c r="N6" s="5"/>
    </row>
    <row r="7" spans="1:14" ht="14.1">
      <c r="A7" s="29" t="s">
        <v>24</v>
      </c>
      <c r="B7" s="20"/>
      <c r="C7" s="29" t="s">
        <v>24</v>
      </c>
      <c r="D7" s="20"/>
      <c r="E7" s="29" t="s">
        <v>24</v>
      </c>
      <c r="F7" s="20"/>
      <c r="G7" s="29" t="s">
        <v>9</v>
      </c>
      <c r="H7" s="20"/>
      <c r="I7" s="44" t="s">
        <v>9</v>
      </c>
      <c r="J7" s="20"/>
      <c r="K7" s="44" t="s">
        <v>31</v>
      </c>
      <c r="L7" s="20"/>
      <c r="M7" s="44" t="s">
        <v>9</v>
      </c>
      <c r="N7" s="20"/>
    </row>
    <row r="8" spans="1:14" ht="14.1">
      <c r="A8" s="27" t="s">
        <v>59</v>
      </c>
      <c r="B8" s="20"/>
      <c r="C8" s="27" t="s">
        <v>59</v>
      </c>
      <c r="D8" s="20"/>
      <c r="E8" s="27" t="s">
        <v>59</v>
      </c>
      <c r="F8" s="20"/>
      <c r="G8" s="27" t="s">
        <v>59</v>
      </c>
      <c r="H8" s="20"/>
      <c r="I8" s="26" t="s">
        <v>42</v>
      </c>
      <c r="J8" s="20"/>
      <c r="K8" s="26" t="s">
        <v>16</v>
      </c>
      <c r="L8" s="20"/>
      <c r="M8" s="26" t="s">
        <v>16</v>
      </c>
      <c r="N8" s="20"/>
    </row>
    <row r="9" spans="1:14" ht="14.1">
      <c r="A9" s="19" t="s">
        <v>13</v>
      </c>
      <c r="B9" s="20"/>
      <c r="C9" s="19" t="s">
        <v>13</v>
      </c>
      <c r="D9" s="20"/>
      <c r="E9" s="19" t="s">
        <v>13</v>
      </c>
      <c r="F9" s="20"/>
      <c r="G9" s="19" t="s">
        <v>13</v>
      </c>
      <c r="H9" s="20"/>
      <c r="I9" s="19" t="s">
        <v>13</v>
      </c>
      <c r="J9" s="20"/>
      <c r="K9" s="35" t="s">
        <v>13</v>
      </c>
      <c r="L9" s="20"/>
      <c r="M9" s="35" t="s">
        <v>13</v>
      </c>
      <c r="N9" s="20"/>
    </row>
    <row r="10" spans="1:14" ht="14.1">
      <c r="A10" s="21" t="s">
        <v>15</v>
      </c>
      <c r="B10" s="20"/>
      <c r="C10" s="21" t="s">
        <v>15</v>
      </c>
      <c r="D10" s="20"/>
      <c r="E10" s="21" t="s">
        <v>15</v>
      </c>
      <c r="F10" s="20"/>
      <c r="G10" s="21" t="s">
        <v>15</v>
      </c>
      <c r="H10" s="20"/>
      <c r="I10" s="21" t="s">
        <v>15</v>
      </c>
      <c r="J10" s="20"/>
      <c r="K10" s="21" t="s">
        <v>15</v>
      </c>
      <c r="L10" s="20"/>
      <c r="M10" s="21" t="s">
        <v>15</v>
      </c>
      <c r="N10" s="20"/>
    </row>
    <row r="11" spans="1:14" ht="14.1">
      <c r="A11" s="56" t="s">
        <v>16</v>
      </c>
      <c r="B11" s="20"/>
      <c r="C11" s="56" t="s">
        <v>16</v>
      </c>
      <c r="D11" s="20"/>
      <c r="E11" s="56" t="s">
        <v>16</v>
      </c>
      <c r="F11" s="20"/>
      <c r="G11" s="56" t="s">
        <v>16</v>
      </c>
      <c r="H11" s="20"/>
      <c r="I11" s="56" t="s">
        <v>16</v>
      </c>
      <c r="J11" s="20"/>
      <c r="K11" s="56" t="s">
        <v>16</v>
      </c>
      <c r="L11" s="20"/>
      <c r="M11" s="56" t="s">
        <v>16</v>
      </c>
      <c r="N11" s="20"/>
    </row>
    <row r="12" spans="1:14" ht="14.1">
      <c r="A12" s="23" t="s">
        <v>26</v>
      </c>
      <c r="B12" s="20"/>
      <c r="C12" s="22" t="s">
        <v>26</v>
      </c>
      <c r="D12" s="20"/>
      <c r="E12" s="23" t="s">
        <v>123</v>
      </c>
      <c r="F12" s="20"/>
      <c r="G12" s="22" t="s">
        <v>26</v>
      </c>
      <c r="H12" s="20"/>
      <c r="I12" s="22" t="s">
        <v>124</v>
      </c>
      <c r="J12" s="20"/>
      <c r="K12" s="22" t="s">
        <v>36</v>
      </c>
      <c r="L12" s="20"/>
      <c r="M12" s="22" t="s">
        <v>36</v>
      </c>
      <c r="N12" s="20"/>
    </row>
    <row r="13" spans="1:14" ht="18" customHeight="1">
      <c r="A13" s="25" t="s">
        <v>63</v>
      </c>
      <c r="B13" s="20"/>
      <c r="C13" s="25" t="s">
        <v>63</v>
      </c>
      <c r="D13" s="20"/>
      <c r="E13" s="25" t="s">
        <v>50</v>
      </c>
      <c r="F13" s="20"/>
      <c r="G13" s="25" t="s">
        <v>63</v>
      </c>
      <c r="H13" s="20"/>
      <c r="I13" s="25" t="s">
        <v>50</v>
      </c>
      <c r="J13" s="20"/>
      <c r="K13" s="25" t="s">
        <v>30</v>
      </c>
      <c r="L13" s="20"/>
      <c r="M13" s="25" t="s">
        <v>30</v>
      </c>
      <c r="N13" s="20"/>
    </row>
    <row r="14" spans="1:14" ht="18" customHeight="1">
      <c r="A14" s="2">
        <f>M6+1</f>
        <v>45600</v>
      </c>
      <c r="B14" s="3"/>
      <c r="C14" s="2">
        <f>A14+1</f>
        <v>45601</v>
      </c>
      <c r="D14" s="3"/>
      <c r="E14" s="2">
        <f>C14+1</f>
        <v>45602</v>
      </c>
      <c r="F14" s="3"/>
      <c r="G14" s="2">
        <f>E14+1</f>
        <v>45603</v>
      </c>
      <c r="H14" s="3"/>
      <c r="I14" s="2">
        <f>G14+1</f>
        <v>45604</v>
      </c>
      <c r="J14" s="3"/>
      <c r="K14" s="4">
        <f>I14+1</f>
        <v>45605</v>
      </c>
      <c r="L14" s="5"/>
      <c r="M14" s="4">
        <f>K14+1</f>
        <v>45606</v>
      </c>
      <c r="N14" s="5"/>
    </row>
    <row r="15" spans="1:14" ht="14.1">
      <c r="A15" s="29" t="s">
        <v>53</v>
      </c>
      <c r="B15" s="20"/>
      <c r="C15" s="29" t="s">
        <v>9</v>
      </c>
      <c r="D15" s="20"/>
      <c r="E15" s="29" t="s">
        <v>31</v>
      </c>
      <c r="F15" s="20"/>
      <c r="G15" s="29" t="s">
        <v>9</v>
      </c>
      <c r="H15" s="20"/>
      <c r="I15" s="44" t="s">
        <v>125</v>
      </c>
      <c r="J15" s="20"/>
      <c r="K15" s="44" t="s">
        <v>50</v>
      </c>
      <c r="L15" s="20"/>
      <c r="M15" s="44" t="s">
        <v>50</v>
      </c>
      <c r="N15" s="20"/>
    </row>
    <row r="16" spans="1:14" ht="14.1">
      <c r="A16" s="27" t="s">
        <v>42</v>
      </c>
      <c r="B16" s="20"/>
      <c r="C16" s="27" t="s">
        <v>42</v>
      </c>
      <c r="D16" s="20"/>
      <c r="E16" s="27" t="s">
        <v>42</v>
      </c>
      <c r="F16" s="20"/>
      <c r="G16" s="27" t="s">
        <v>42</v>
      </c>
      <c r="H16" s="20"/>
      <c r="I16" s="26" t="s">
        <v>54</v>
      </c>
      <c r="J16" s="20"/>
      <c r="K16" s="26" t="s">
        <v>54</v>
      </c>
      <c r="L16" s="20"/>
      <c r="M16" s="26" t="s">
        <v>54</v>
      </c>
      <c r="N16" s="20"/>
    </row>
    <row r="17" spans="1:14" ht="14.1">
      <c r="A17" s="19" t="s">
        <v>59</v>
      </c>
      <c r="B17" s="20"/>
      <c r="C17" s="19" t="s">
        <v>59</v>
      </c>
      <c r="D17" s="20"/>
      <c r="E17" s="19" t="s">
        <v>59</v>
      </c>
      <c r="F17" s="20"/>
      <c r="G17" s="19" t="s">
        <v>59</v>
      </c>
      <c r="H17" s="20"/>
      <c r="I17" s="19" t="s">
        <v>59</v>
      </c>
      <c r="J17" s="20"/>
      <c r="K17" s="19" t="s">
        <v>40</v>
      </c>
      <c r="L17" s="20"/>
      <c r="M17" s="19" t="s">
        <v>40</v>
      </c>
      <c r="N17" s="20"/>
    </row>
    <row r="18" spans="1:14" ht="14.1">
      <c r="A18" s="21" t="s">
        <v>15</v>
      </c>
      <c r="B18" s="20"/>
      <c r="C18" s="30" t="s">
        <v>89</v>
      </c>
      <c r="D18" s="20"/>
      <c r="E18" s="30" t="s">
        <v>89</v>
      </c>
      <c r="F18" s="20"/>
      <c r="G18" s="30" t="s">
        <v>89</v>
      </c>
      <c r="H18" s="20"/>
      <c r="I18" s="30" t="s">
        <v>89</v>
      </c>
      <c r="J18" s="20"/>
      <c r="K18" s="30" t="s">
        <v>89</v>
      </c>
      <c r="L18" s="20"/>
      <c r="M18" s="30" t="s">
        <v>89</v>
      </c>
      <c r="N18" s="20"/>
    </row>
    <row r="19" spans="1:14" ht="14.1">
      <c r="A19" s="56" t="s">
        <v>25</v>
      </c>
      <c r="B19" s="20"/>
      <c r="C19" s="56" t="s">
        <v>25</v>
      </c>
      <c r="D19" s="20"/>
      <c r="E19" s="56" t="s">
        <v>25</v>
      </c>
      <c r="F19" s="20"/>
      <c r="G19" s="56" t="s">
        <v>25</v>
      </c>
      <c r="H19" s="20"/>
      <c r="I19" s="56" t="s">
        <v>25</v>
      </c>
      <c r="J19" s="20"/>
      <c r="K19" s="56" t="s">
        <v>25</v>
      </c>
      <c r="L19" s="20"/>
      <c r="M19" s="56" t="s">
        <v>25</v>
      </c>
      <c r="N19" s="20"/>
    </row>
    <row r="20" spans="1:14" ht="14.1">
      <c r="A20" s="23" t="s">
        <v>28</v>
      </c>
      <c r="B20" s="20"/>
      <c r="C20" s="22" t="s">
        <v>126</v>
      </c>
      <c r="D20" s="20"/>
      <c r="E20" s="23" t="s">
        <v>127</v>
      </c>
      <c r="F20" s="20"/>
      <c r="G20" s="22" t="s">
        <v>127</v>
      </c>
      <c r="H20" s="20"/>
      <c r="I20" s="22" t="s">
        <v>27</v>
      </c>
      <c r="J20" s="20"/>
      <c r="K20" s="22" t="s">
        <v>26</v>
      </c>
      <c r="L20" s="20"/>
      <c r="M20" s="22" t="s">
        <v>26</v>
      </c>
      <c r="N20" s="20"/>
    </row>
    <row r="21" spans="1:14" ht="18" customHeight="1">
      <c r="A21" s="25" t="s">
        <v>77</v>
      </c>
      <c r="B21" s="20"/>
      <c r="C21" s="25" t="s">
        <v>30</v>
      </c>
      <c r="D21" s="20"/>
      <c r="E21" s="25" t="s">
        <v>30</v>
      </c>
      <c r="F21" s="20"/>
      <c r="G21" s="25" t="s">
        <v>77</v>
      </c>
      <c r="H21" s="20"/>
      <c r="I21" s="25" t="s">
        <v>30</v>
      </c>
      <c r="J21" s="20"/>
      <c r="K21" s="25" t="s">
        <v>41</v>
      </c>
      <c r="L21" s="20"/>
      <c r="M21" s="25" t="s">
        <v>41</v>
      </c>
      <c r="N21" s="20"/>
    </row>
    <row r="22" spans="1:14" ht="18" customHeight="1">
      <c r="A22" s="2">
        <f>M14+1</f>
        <v>45607</v>
      </c>
      <c r="B22" s="3"/>
      <c r="C22" s="2">
        <f>A22+1</f>
        <v>45608</v>
      </c>
      <c r="D22" s="3"/>
      <c r="E22" s="2">
        <f>C22+1</f>
        <v>45609</v>
      </c>
      <c r="F22" s="3"/>
      <c r="G22" s="2">
        <f>E22+1</f>
        <v>45610</v>
      </c>
      <c r="H22" s="3"/>
      <c r="I22" s="2">
        <f>G22+1</f>
        <v>45611</v>
      </c>
      <c r="J22" s="3"/>
      <c r="K22" s="4">
        <f>I22+1</f>
        <v>45612</v>
      </c>
      <c r="L22" s="5"/>
      <c r="M22" s="4">
        <f>K22+1</f>
        <v>45613</v>
      </c>
      <c r="N22" s="5"/>
    </row>
    <row r="23" spans="1:14" ht="14.1">
      <c r="A23" s="29" t="s">
        <v>52</v>
      </c>
      <c r="B23" s="20"/>
      <c r="C23" s="29" t="s">
        <v>50</v>
      </c>
      <c r="D23" s="20"/>
      <c r="E23" s="29" t="s">
        <v>52</v>
      </c>
      <c r="F23" s="20"/>
      <c r="G23" s="29" t="s">
        <v>50</v>
      </c>
      <c r="H23" s="20"/>
      <c r="I23" s="29" t="s">
        <v>85</v>
      </c>
      <c r="J23" s="20"/>
      <c r="K23" s="29" t="s">
        <v>85</v>
      </c>
      <c r="L23" s="20"/>
      <c r="M23" s="29" t="s">
        <v>85</v>
      </c>
      <c r="N23" s="20"/>
    </row>
    <row r="24" spans="1:14" ht="14.1">
      <c r="A24" s="27" t="s">
        <v>54</v>
      </c>
      <c r="B24" s="20"/>
      <c r="C24" s="27" t="s">
        <v>54</v>
      </c>
      <c r="D24" s="20"/>
      <c r="E24" s="27" t="s">
        <v>54</v>
      </c>
      <c r="F24" s="20"/>
      <c r="G24" s="27" t="s">
        <v>54</v>
      </c>
      <c r="H24" s="20"/>
      <c r="I24" s="26" t="s">
        <v>25</v>
      </c>
      <c r="J24" s="20"/>
      <c r="K24" s="26" t="s">
        <v>25</v>
      </c>
      <c r="L24" s="20"/>
      <c r="M24" s="26" t="s">
        <v>25</v>
      </c>
      <c r="N24" s="20"/>
    </row>
    <row r="25" spans="1:14" ht="14.1">
      <c r="A25" s="19" t="s">
        <v>13</v>
      </c>
      <c r="B25" s="20"/>
      <c r="C25" s="19" t="s">
        <v>11</v>
      </c>
      <c r="D25" s="20"/>
      <c r="E25" s="19" t="s">
        <v>11</v>
      </c>
      <c r="F25" s="20"/>
      <c r="G25" s="19" t="s">
        <v>11</v>
      </c>
      <c r="H25" s="20"/>
      <c r="I25" s="19" t="s">
        <v>11</v>
      </c>
      <c r="J25" s="20"/>
      <c r="K25" s="19" t="s">
        <v>11</v>
      </c>
      <c r="L25" s="20"/>
      <c r="M25" s="19" t="s">
        <v>11</v>
      </c>
      <c r="N25" s="20"/>
    </row>
    <row r="26" spans="1:14" ht="14.1">
      <c r="A26" s="21" t="s">
        <v>89</v>
      </c>
      <c r="B26" s="20"/>
      <c r="C26" s="21" t="s">
        <v>89</v>
      </c>
      <c r="D26" s="20"/>
      <c r="E26" s="21" t="s">
        <v>89</v>
      </c>
      <c r="F26" s="20"/>
      <c r="G26" s="21" t="s">
        <v>89</v>
      </c>
      <c r="H26" s="20"/>
      <c r="I26" s="21" t="s">
        <v>24</v>
      </c>
      <c r="J26" s="20"/>
      <c r="K26" s="21" t="s">
        <v>24</v>
      </c>
      <c r="L26" s="20"/>
      <c r="M26" s="21" t="s">
        <v>24</v>
      </c>
      <c r="N26" s="20"/>
    </row>
    <row r="27" spans="1:14" ht="14.1">
      <c r="A27" s="56" t="s">
        <v>13</v>
      </c>
      <c r="B27" s="20"/>
      <c r="C27" s="56" t="s">
        <v>13</v>
      </c>
      <c r="D27" s="20"/>
      <c r="E27" s="56" t="s">
        <v>13</v>
      </c>
      <c r="F27" s="20"/>
      <c r="G27" s="56" t="s">
        <v>13</v>
      </c>
      <c r="H27" s="20"/>
      <c r="I27" s="56" t="s">
        <v>13</v>
      </c>
      <c r="J27" s="20"/>
      <c r="K27" s="56" t="s">
        <v>13</v>
      </c>
      <c r="L27" s="20"/>
      <c r="M27" s="56" t="s">
        <v>13</v>
      </c>
      <c r="N27" s="20"/>
    </row>
    <row r="28" spans="1:14" ht="14.1">
      <c r="A28" s="23" t="s">
        <v>128</v>
      </c>
      <c r="B28" s="20"/>
      <c r="C28" s="22" t="s">
        <v>128</v>
      </c>
      <c r="D28" s="20"/>
      <c r="E28" s="23" t="s">
        <v>128</v>
      </c>
      <c r="F28" s="20"/>
      <c r="G28" s="22" t="s">
        <v>128</v>
      </c>
      <c r="H28" s="20"/>
      <c r="I28" s="22" t="s">
        <v>128</v>
      </c>
      <c r="J28" s="20"/>
      <c r="K28" s="22" t="s">
        <v>128</v>
      </c>
      <c r="L28" s="20"/>
      <c r="M28" s="22" t="s">
        <v>128</v>
      </c>
      <c r="N28" s="20"/>
    </row>
    <row r="29" spans="1:14" ht="18" customHeight="1">
      <c r="A29" s="25" t="s">
        <v>29</v>
      </c>
      <c r="B29" s="20"/>
      <c r="C29" s="25" t="s">
        <v>29</v>
      </c>
      <c r="D29" s="20"/>
      <c r="E29" s="25" t="s">
        <v>29</v>
      </c>
      <c r="F29" s="20"/>
      <c r="G29" s="25" t="s">
        <v>29</v>
      </c>
      <c r="H29" s="20"/>
      <c r="I29" s="25" t="s">
        <v>129</v>
      </c>
      <c r="J29" s="20"/>
      <c r="K29" s="25" t="s">
        <v>74</v>
      </c>
      <c r="L29" s="20"/>
      <c r="M29" s="25" t="s">
        <v>74</v>
      </c>
      <c r="N29" s="20"/>
    </row>
    <row r="30" spans="1:14" ht="18" customHeight="1">
      <c r="A30" s="4">
        <f>M22+1</f>
        <v>45614</v>
      </c>
      <c r="B30" s="5"/>
      <c r="C30" s="4">
        <f>A30+1</f>
        <v>45615</v>
      </c>
      <c r="D30" s="5"/>
      <c r="E30" s="4">
        <f>C30+1</f>
        <v>45616</v>
      </c>
      <c r="F30" s="5"/>
      <c r="G30" s="4">
        <f>E30+1</f>
        <v>45617</v>
      </c>
      <c r="H30" s="5"/>
      <c r="I30" s="4">
        <f>G30+1</f>
        <v>45618</v>
      </c>
      <c r="J30" s="5"/>
      <c r="K30" s="4">
        <f>I30+1</f>
        <v>45619</v>
      </c>
      <c r="L30" s="5"/>
      <c r="M30" s="4">
        <f>K30+1</f>
        <v>45620</v>
      </c>
      <c r="N30" s="5"/>
    </row>
    <row r="31" spans="1:14" ht="14.1">
      <c r="A31" s="29" t="s">
        <v>105</v>
      </c>
      <c r="B31" s="20"/>
      <c r="C31" s="29" t="s">
        <v>105</v>
      </c>
      <c r="D31" s="20"/>
      <c r="E31" s="29" t="s">
        <v>105</v>
      </c>
      <c r="F31" s="20"/>
      <c r="G31" s="29" t="s">
        <v>105</v>
      </c>
      <c r="H31" s="20"/>
      <c r="I31" s="29" t="s">
        <v>105</v>
      </c>
      <c r="J31" s="20"/>
      <c r="K31" s="44" t="s">
        <v>105</v>
      </c>
      <c r="L31" s="20"/>
      <c r="M31" s="44" t="s">
        <v>105</v>
      </c>
      <c r="N31" s="20"/>
    </row>
    <row r="32" spans="1:14" ht="14.1">
      <c r="A32" s="27" t="s">
        <v>25</v>
      </c>
      <c r="B32" s="20"/>
      <c r="C32" s="27" t="s">
        <v>25</v>
      </c>
      <c r="D32" s="20"/>
      <c r="E32" s="27" t="s">
        <v>25</v>
      </c>
      <c r="F32" s="20"/>
      <c r="G32" s="27" t="s">
        <v>25</v>
      </c>
      <c r="H32" s="20"/>
      <c r="I32" s="26" t="s">
        <v>42</v>
      </c>
      <c r="J32" s="20"/>
      <c r="K32" s="26" t="s">
        <v>42</v>
      </c>
      <c r="L32" s="20"/>
      <c r="M32" s="26" t="s">
        <v>42</v>
      </c>
      <c r="N32" s="20"/>
    </row>
    <row r="33" spans="1:14" ht="14.1">
      <c r="A33" s="19" t="s">
        <v>9</v>
      </c>
      <c r="B33" s="20"/>
      <c r="C33" s="19" t="s">
        <v>9</v>
      </c>
      <c r="D33" s="20"/>
      <c r="E33" s="19" t="s">
        <v>9</v>
      </c>
      <c r="F33" s="20"/>
      <c r="G33" s="19" t="s">
        <v>9</v>
      </c>
      <c r="H33" s="20"/>
      <c r="I33" s="19" t="s">
        <v>9</v>
      </c>
      <c r="J33" s="20"/>
      <c r="K33" s="19" t="s">
        <v>31</v>
      </c>
      <c r="L33" s="20"/>
      <c r="M33" s="19" t="s">
        <v>31</v>
      </c>
      <c r="N33" s="20"/>
    </row>
    <row r="34" spans="1:14" ht="14.1">
      <c r="A34" s="21" t="s">
        <v>24</v>
      </c>
      <c r="B34" s="20"/>
      <c r="C34" s="21" t="s">
        <v>24</v>
      </c>
      <c r="D34" s="20"/>
      <c r="E34" s="21" t="s">
        <v>24</v>
      </c>
      <c r="F34" s="20"/>
      <c r="G34" s="21" t="s">
        <v>24</v>
      </c>
      <c r="H34" s="20"/>
      <c r="I34" s="21" t="s">
        <v>24</v>
      </c>
      <c r="J34" s="20"/>
      <c r="K34" s="21" t="s">
        <v>24</v>
      </c>
      <c r="L34" s="20"/>
      <c r="M34" s="21" t="s">
        <v>24</v>
      </c>
      <c r="N34" s="20"/>
    </row>
    <row r="35" spans="1:14" ht="14.1">
      <c r="A35" s="56" t="s">
        <v>16</v>
      </c>
      <c r="B35" s="20"/>
      <c r="C35" s="56" t="s">
        <v>16</v>
      </c>
      <c r="D35" s="20"/>
      <c r="E35" s="56" t="s">
        <v>16</v>
      </c>
      <c r="F35" s="20"/>
      <c r="G35" s="56" t="s">
        <v>16</v>
      </c>
      <c r="H35" s="20"/>
      <c r="I35" s="56" t="s">
        <v>25</v>
      </c>
      <c r="J35" s="20"/>
      <c r="K35" s="56" t="s">
        <v>25</v>
      </c>
      <c r="L35" s="20"/>
      <c r="M35" s="56" t="s">
        <v>16</v>
      </c>
      <c r="N35" s="20"/>
    </row>
    <row r="36" spans="1:14" ht="14.1">
      <c r="A36" s="23" t="s">
        <v>28</v>
      </c>
      <c r="B36" s="20"/>
      <c r="C36" s="22" t="s">
        <v>17</v>
      </c>
      <c r="D36" s="20"/>
      <c r="E36" s="23" t="s">
        <v>28</v>
      </c>
      <c r="F36" s="20"/>
      <c r="G36" s="22" t="s">
        <v>19</v>
      </c>
      <c r="H36" s="20"/>
      <c r="I36" s="22" t="s">
        <v>27</v>
      </c>
      <c r="J36" s="20"/>
      <c r="K36" s="22" t="s">
        <v>26</v>
      </c>
      <c r="L36" s="20"/>
      <c r="M36" s="22" t="s">
        <v>19</v>
      </c>
      <c r="N36" s="20"/>
    </row>
    <row r="37" spans="1:14" ht="18" customHeight="1">
      <c r="A37" s="25" t="s">
        <v>50</v>
      </c>
      <c r="B37" s="20"/>
      <c r="C37" s="25" t="s">
        <v>63</v>
      </c>
      <c r="D37" s="20"/>
      <c r="E37" s="25" t="s">
        <v>50</v>
      </c>
      <c r="F37" s="20"/>
      <c r="G37" s="25" t="s">
        <v>50</v>
      </c>
      <c r="H37" s="20"/>
      <c r="I37" s="25" t="s">
        <v>50</v>
      </c>
      <c r="J37" s="20"/>
      <c r="K37" s="25" t="s">
        <v>130</v>
      </c>
      <c r="L37" s="20"/>
      <c r="M37" s="25" t="s">
        <v>50</v>
      </c>
      <c r="N37" s="20"/>
    </row>
    <row r="38" spans="1:14" ht="18" customHeight="1">
      <c r="A38" s="4">
        <f>IF(M30="","",IF(MONTH(M30+1)&lt;&gt;MONTH($A$1),"",M30+1))</f>
        <v>45621</v>
      </c>
      <c r="B38" s="5"/>
      <c r="C38" s="4">
        <f>IF(A38="","",IF(MONTH(A38+1)&lt;&gt;MONTH($A$1),"",A38+1))</f>
        <v>45622</v>
      </c>
      <c r="D38" s="5"/>
      <c r="E38" s="4">
        <f>IF(C38="","",IF(MONTH(C38+1)&lt;&gt;MONTH($A$1),"",C38+1))</f>
        <v>45623</v>
      </c>
      <c r="F38" s="5"/>
      <c r="G38" s="4">
        <f>IF(E38="","",IF(MONTH(E38+1)&lt;&gt;MONTH($A$1),"",E38+1))</f>
        <v>45624</v>
      </c>
      <c r="H38" s="5"/>
      <c r="I38" s="4">
        <f>IF(G38="","",IF(MONTH(G38+1)&lt;&gt;MONTH($A$1),"",G38+1))</f>
        <v>45625</v>
      </c>
      <c r="J38" s="5"/>
      <c r="K38" s="4">
        <f>IF(I38="","",IF(MONTH(I38+1)&lt;&gt;MONTH($A$1),"",I38+1))</f>
        <v>45626</v>
      </c>
      <c r="L38" s="5"/>
      <c r="M38" s="4" t="str">
        <f>IF(K38="","",IF(MONTH(K38+1)&lt;&gt;MONTH($A$1),"",K38+1))</f>
        <v/>
      </c>
      <c r="N38" s="5"/>
    </row>
    <row r="39" spans="1:14" ht="14.1">
      <c r="A39" s="29" t="s">
        <v>131</v>
      </c>
      <c r="B39" s="20"/>
      <c r="C39" s="29" t="s">
        <v>24</v>
      </c>
      <c r="D39" s="20"/>
      <c r="E39" s="29"/>
      <c r="F39" s="20"/>
      <c r="G39" s="44"/>
      <c r="H39" s="20"/>
      <c r="I39" s="44"/>
      <c r="J39" s="20"/>
      <c r="K39" s="44"/>
      <c r="L39" s="20"/>
      <c r="M39" s="44"/>
      <c r="N39" s="20"/>
    </row>
    <row r="40" spans="1:14" ht="14.1">
      <c r="A40" s="27" t="s">
        <v>16</v>
      </c>
      <c r="B40" s="20"/>
      <c r="C40" s="27" t="s">
        <v>16</v>
      </c>
      <c r="D40" s="20"/>
      <c r="E40" s="27"/>
      <c r="F40" s="20"/>
      <c r="G40" s="26"/>
      <c r="H40" s="20"/>
      <c r="I40" s="26"/>
      <c r="J40" s="20"/>
      <c r="K40" s="26"/>
      <c r="L40" s="20"/>
      <c r="M40" s="26"/>
      <c r="N40" s="20"/>
    </row>
    <row r="41" spans="1:14" ht="14.1">
      <c r="A41" s="19" t="s">
        <v>13</v>
      </c>
      <c r="B41" s="20"/>
      <c r="C41" s="19" t="s">
        <v>13</v>
      </c>
      <c r="D41" s="20"/>
      <c r="E41" s="19"/>
      <c r="F41" s="20"/>
      <c r="G41" s="35"/>
      <c r="H41" s="20"/>
      <c r="I41" s="35"/>
      <c r="J41" s="20"/>
      <c r="K41" s="35"/>
      <c r="L41" s="20"/>
      <c r="M41" s="35"/>
      <c r="N41" s="20"/>
    </row>
    <row r="42" spans="1:14" ht="14.1">
      <c r="A42" s="21" t="s">
        <v>15</v>
      </c>
      <c r="B42" s="20"/>
      <c r="C42" s="30" t="s">
        <v>15</v>
      </c>
      <c r="D42" s="20"/>
      <c r="E42" s="21"/>
      <c r="F42" s="20"/>
      <c r="G42" s="30"/>
      <c r="H42" s="20"/>
      <c r="I42" s="30"/>
      <c r="J42" s="20"/>
      <c r="K42" s="30"/>
      <c r="L42" s="20"/>
      <c r="M42" s="30"/>
      <c r="N42" s="20"/>
    </row>
    <row r="43" spans="1:14" ht="14.1">
      <c r="A43" s="56" t="s">
        <v>25</v>
      </c>
      <c r="B43" s="20"/>
      <c r="C43" s="56" t="s">
        <v>25</v>
      </c>
      <c r="D43" s="20"/>
      <c r="E43" s="56"/>
      <c r="F43" s="20"/>
      <c r="G43" s="57"/>
      <c r="H43" s="20"/>
      <c r="I43" s="57"/>
      <c r="J43" s="20"/>
      <c r="K43" s="57"/>
      <c r="L43" s="20"/>
      <c r="M43" s="57"/>
      <c r="N43" s="20"/>
    </row>
    <row r="44" spans="1:14" ht="14.1">
      <c r="A44" s="23" t="s">
        <v>27</v>
      </c>
      <c r="B44" s="20"/>
      <c r="C44" s="22" t="s">
        <v>27</v>
      </c>
      <c r="D44" s="20"/>
      <c r="E44" s="23"/>
      <c r="F44" s="20"/>
      <c r="G44" s="22"/>
      <c r="H44" s="20"/>
      <c r="I44" s="22"/>
      <c r="J44" s="20"/>
      <c r="K44" s="22"/>
      <c r="L44" s="20"/>
      <c r="M44" s="22"/>
      <c r="N44" s="20"/>
    </row>
    <row r="45" spans="1:14" ht="18" customHeight="1">
      <c r="A45" s="25" t="s">
        <v>30</v>
      </c>
      <c r="B45" s="20"/>
      <c r="C45" s="31" t="s">
        <v>30</v>
      </c>
      <c r="D45" s="24"/>
      <c r="E45" s="25"/>
      <c r="F45" s="20"/>
      <c r="G45" s="31"/>
      <c r="H45" s="24"/>
      <c r="I45" s="31"/>
      <c r="J45" s="24"/>
      <c r="K45" s="31"/>
      <c r="L45" s="24"/>
      <c r="M45" s="31"/>
      <c r="N45" s="24"/>
    </row>
    <row r="46" spans="1:14" ht="18" customHeight="1">
      <c r="A46" s="2" t="str">
        <f>IF(M38="","",IF(MONTH(M38+1)&lt;&gt;MONTH($A$1),"",M38+1))</f>
        <v/>
      </c>
      <c r="B46" s="3"/>
      <c r="C46" s="2" t="str">
        <f>IF(A46="","",IF(MONTH(A46+1)&lt;&gt;MONTH($A$1),"",A46+1))</f>
        <v/>
      </c>
      <c r="D46" s="3"/>
      <c r="E46" s="46" t="s">
        <v>22</v>
      </c>
      <c r="F46" s="47"/>
      <c r="G46" s="48"/>
      <c r="H46" s="47"/>
      <c r="I46" s="47"/>
      <c r="J46" s="47"/>
      <c r="K46" s="47"/>
      <c r="L46" s="47"/>
      <c r="M46" s="47"/>
      <c r="N46" s="49"/>
    </row>
    <row r="47" spans="1:14" ht="14.1">
      <c r="A47" s="29"/>
      <c r="B47" s="20"/>
      <c r="C47" s="44"/>
      <c r="D47" s="20"/>
      <c r="E47" s="45" t="s">
        <v>132</v>
      </c>
      <c r="F47" s="37"/>
      <c r="G47" s="37"/>
      <c r="H47" s="37"/>
      <c r="I47" s="37"/>
      <c r="J47" s="37"/>
      <c r="K47" s="37"/>
      <c r="L47" s="37"/>
      <c r="M47" s="37"/>
      <c r="N47" s="20"/>
    </row>
    <row r="48" spans="1:14" ht="14.1">
      <c r="A48" s="27"/>
      <c r="B48" s="20"/>
      <c r="C48" s="26"/>
      <c r="D48" s="20"/>
      <c r="E48" s="45" t="s">
        <v>133</v>
      </c>
      <c r="F48" s="37"/>
      <c r="G48" s="37"/>
      <c r="H48" s="37"/>
      <c r="I48" s="37"/>
      <c r="J48" s="37"/>
      <c r="K48" s="37"/>
      <c r="L48" s="37"/>
      <c r="M48" s="37"/>
      <c r="N48" s="20"/>
    </row>
    <row r="49" spans="1:14" ht="14.1">
      <c r="A49" s="19"/>
      <c r="B49" s="20"/>
      <c r="C49" s="35"/>
      <c r="D49" s="20"/>
      <c r="E49" s="45" t="s">
        <v>134</v>
      </c>
      <c r="F49" s="37"/>
      <c r="G49" s="37"/>
      <c r="H49" s="37"/>
      <c r="I49" s="37"/>
      <c r="J49" s="37"/>
      <c r="K49" s="37"/>
      <c r="L49" s="37"/>
      <c r="M49" s="37"/>
      <c r="N49" s="20"/>
    </row>
    <row r="50" spans="1:14" ht="14.1">
      <c r="A50" s="21"/>
      <c r="B50" s="20"/>
      <c r="C50" s="30"/>
      <c r="D50" s="20"/>
      <c r="E50" s="6"/>
      <c r="F50" s="7"/>
      <c r="G50" s="7"/>
      <c r="H50" s="7"/>
      <c r="I50" s="7"/>
      <c r="J50" s="7"/>
      <c r="K50" s="7"/>
      <c r="L50" s="7"/>
      <c r="M50" s="7"/>
      <c r="N50" s="8"/>
    </row>
    <row r="51" spans="1:14" ht="14.1">
      <c r="A51" s="56"/>
      <c r="B51" s="20"/>
      <c r="C51" s="57"/>
      <c r="D51" s="20"/>
      <c r="E51" s="6"/>
      <c r="F51" s="7"/>
      <c r="G51" s="7"/>
      <c r="H51" s="7"/>
      <c r="I51" s="7"/>
      <c r="J51" s="7"/>
      <c r="K51" s="7"/>
      <c r="L51" s="7"/>
      <c r="M51" s="7"/>
      <c r="N51" s="8"/>
    </row>
    <row r="52" spans="1:14" ht="14.1">
      <c r="A52" s="23"/>
      <c r="B52" s="20"/>
      <c r="C52" s="22"/>
      <c r="D52" s="20"/>
      <c r="E52" s="6"/>
      <c r="F52" s="7"/>
      <c r="G52" s="7"/>
      <c r="H52" s="7"/>
      <c r="I52" s="7"/>
      <c r="J52" s="7"/>
      <c r="K52" s="7"/>
      <c r="L52" s="7"/>
      <c r="M52" s="7"/>
      <c r="N52" s="8"/>
    </row>
    <row r="53" spans="1:14" ht="14.1">
      <c r="A53" s="25"/>
      <c r="B53" s="20"/>
      <c r="C53" s="31"/>
      <c r="D53" s="24"/>
      <c r="E53" s="32" t="s">
        <v>23</v>
      </c>
      <c r="F53" s="33"/>
      <c r="G53" s="33"/>
      <c r="H53" s="33"/>
      <c r="I53" s="34" t="str">
        <f>HYPERLINK("https://www.vertex42.com/calendars/academic-calendar.html","https://www.vertex42.com/calendars/academic-calendar.html")</f>
        <v>https://www.vertex42.com/calendars/academic-calendar.html</v>
      </c>
      <c r="J53" s="33"/>
      <c r="K53" s="33"/>
      <c r="L53" s="33"/>
      <c r="M53" s="33"/>
      <c r="N53" s="24"/>
    </row>
  </sheetData>
  <mergeCells count="283">
    <mergeCell ref="C42:D42"/>
    <mergeCell ref="E42:F42"/>
    <mergeCell ref="G42:H42"/>
    <mergeCell ref="I42:J42"/>
    <mergeCell ref="K42:L42"/>
    <mergeCell ref="M42:N42"/>
    <mergeCell ref="A42:B42"/>
    <mergeCell ref="C43:D43"/>
    <mergeCell ref="E43:F43"/>
    <mergeCell ref="G43:H43"/>
    <mergeCell ref="I43:J43"/>
    <mergeCell ref="K43:L43"/>
    <mergeCell ref="M43:N43"/>
    <mergeCell ref="A43:B43"/>
    <mergeCell ref="C40:D40"/>
    <mergeCell ref="E40:F40"/>
    <mergeCell ref="G40:H40"/>
    <mergeCell ref="I40:J40"/>
    <mergeCell ref="K40:L40"/>
    <mergeCell ref="M40:N40"/>
    <mergeCell ref="A40:B40"/>
    <mergeCell ref="C41:D41"/>
    <mergeCell ref="E41:F41"/>
    <mergeCell ref="G41:H41"/>
    <mergeCell ref="I41:J41"/>
    <mergeCell ref="K41:L41"/>
    <mergeCell ref="M41:N41"/>
    <mergeCell ref="A41:B41"/>
    <mergeCell ref="C35:D35"/>
    <mergeCell ref="E35:F35"/>
    <mergeCell ref="G35:H35"/>
    <mergeCell ref="I35:J35"/>
    <mergeCell ref="K35:L35"/>
    <mergeCell ref="M35:N35"/>
    <mergeCell ref="A35:B35"/>
    <mergeCell ref="C36:D36"/>
    <mergeCell ref="E36:F36"/>
    <mergeCell ref="G36:H36"/>
    <mergeCell ref="I36:J36"/>
    <mergeCell ref="K36:L36"/>
    <mergeCell ref="M36:N36"/>
    <mergeCell ref="A36:B36"/>
    <mergeCell ref="C33:D33"/>
    <mergeCell ref="E33:F33"/>
    <mergeCell ref="G33:H33"/>
    <mergeCell ref="I33:J33"/>
    <mergeCell ref="K33:L33"/>
    <mergeCell ref="M33:N33"/>
    <mergeCell ref="A33:B33"/>
    <mergeCell ref="C34:D34"/>
    <mergeCell ref="E34:F34"/>
    <mergeCell ref="G34:H34"/>
    <mergeCell ref="I34:J34"/>
    <mergeCell ref="K34:L34"/>
    <mergeCell ref="M34:N34"/>
    <mergeCell ref="A34:B34"/>
    <mergeCell ref="C31:D31"/>
    <mergeCell ref="E31:F31"/>
    <mergeCell ref="G31:H31"/>
    <mergeCell ref="I31:J31"/>
    <mergeCell ref="K31:L31"/>
    <mergeCell ref="M31:N31"/>
    <mergeCell ref="A31:B31"/>
    <mergeCell ref="C32:D32"/>
    <mergeCell ref="E32:F32"/>
    <mergeCell ref="G32:H32"/>
    <mergeCell ref="I32:J32"/>
    <mergeCell ref="K32:L32"/>
    <mergeCell ref="M32:N32"/>
    <mergeCell ref="A32:B32"/>
    <mergeCell ref="C28:D28"/>
    <mergeCell ref="E28:F28"/>
    <mergeCell ref="G28:H28"/>
    <mergeCell ref="I28:J28"/>
    <mergeCell ref="K28:L28"/>
    <mergeCell ref="M28:N28"/>
    <mergeCell ref="A28:B28"/>
    <mergeCell ref="C29:D29"/>
    <mergeCell ref="E29:F29"/>
    <mergeCell ref="G29:H29"/>
    <mergeCell ref="I29:J29"/>
    <mergeCell ref="K29:L29"/>
    <mergeCell ref="M29:N29"/>
    <mergeCell ref="A29:B29"/>
    <mergeCell ref="C21:D21"/>
    <mergeCell ref="E21:F21"/>
    <mergeCell ref="G21:H21"/>
    <mergeCell ref="I21:J21"/>
    <mergeCell ref="K21:L21"/>
    <mergeCell ref="M21:N21"/>
    <mergeCell ref="A21:B21"/>
    <mergeCell ref="C23:D23"/>
    <mergeCell ref="E23:F23"/>
    <mergeCell ref="G23:H23"/>
    <mergeCell ref="I23:J23"/>
    <mergeCell ref="K23:L23"/>
    <mergeCell ref="M23:N23"/>
    <mergeCell ref="A23:B23"/>
    <mergeCell ref="A52:B52"/>
    <mergeCell ref="C52:D52"/>
    <mergeCell ref="A53:B53"/>
    <mergeCell ref="C53:D53"/>
    <mergeCell ref="E53:H53"/>
    <mergeCell ref="I53:N53"/>
    <mergeCell ref="A49:B49"/>
    <mergeCell ref="C49:D49"/>
    <mergeCell ref="E49:N49"/>
    <mergeCell ref="A50:B50"/>
    <mergeCell ref="C50:D50"/>
    <mergeCell ref="A51:B51"/>
    <mergeCell ref="C51:D51"/>
    <mergeCell ref="C8:D8"/>
    <mergeCell ref="E8:F8"/>
    <mergeCell ref="G8:H8"/>
    <mergeCell ref="I8:J8"/>
    <mergeCell ref="K8:L8"/>
    <mergeCell ref="M8:N8"/>
    <mergeCell ref="A8:B8"/>
    <mergeCell ref="C9:D9"/>
    <mergeCell ref="E9:F9"/>
    <mergeCell ref="G9:H9"/>
    <mergeCell ref="I9:J9"/>
    <mergeCell ref="K9:L9"/>
    <mergeCell ref="M9:N9"/>
    <mergeCell ref="A9:B9"/>
    <mergeCell ref="C5:D5"/>
    <mergeCell ref="E5:F5"/>
    <mergeCell ref="G5:H5"/>
    <mergeCell ref="I5:J5"/>
    <mergeCell ref="K5:L5"/>
    <mergeCell ref="M5:N5"/>
    <mergeCell ref="A5:B5"/>
    <mergeCell ref="C7:D7"/>
    <mergeCell ref="E7:F7"/>
    <mergeCell ref="G7:H7"/>
    <mergeCell ref="I7:J7"/>
    <mergeCell ref="K7:L7"/>
    <mergeCell ref="M7:N7"/>
    <mergeCell ref="A7:B7"/>
    <mergeCell ref="K3:L3"/>
    <mergeCell ref="M3:N3"/>
    <mergeCell ref="A1:N1"/>
    <mergeCell ref="A2:N2"/>
    <mergeCell ref="C3:D3"/>
    <mergeCell ref="E3:F3"/>
    <mergeCell ref="G3:H3"/>
    <mergeCell ref="I3:J3"/>
    <mergeCell ref="A4:N4"/>
    <mergeCell ref="A3:B3"/>
    <mergeCell ref="C48:D48"/>
    <mergeCell ref="E48:N48"/>
    <mergeCell ref="E45:F45"/>
    <mergeCell ref="E46:F46"/>
    <mergeCell ref="G46:N46"/>
    <mergeCell ref="A47:B47"/>
    <mergeCell ref="C47:D47"/>
    <mergeCell ref="E47:N47"/>
    <mergeCell ref="A48:B48"/>
    <mergeCell ref="C44:D44"/>
    <mergeCell ref="E44:F44"/>
    <mergeCell ref="G44:H44"/>
    <mergeCell ref="I44:J44"/>
    <mergeCell ref="K44:L44"/>
    <mergeCell ref="M44:N44"/>
    <mergeCell ref="A44:B44"/>
    <mergeCell ref="A45:B45"/>
    <mergeCell ref="C45:D45"/>
    <mergeCell ref="G45:H45"/>
    <mergeCell ref="I45:J45"/>
    <mergeCell ref="K45:L45"/>
    <mergeCell ref="M45:N45"/>
    <mergeCell ref="C37:D37"/>
    <mergeCell ref="E37:F37"/>
    <mergeCell ref="G37:H37"/>
    <mergeCell ref="I37:J37"/>
    <mergeCell ref="K37:L37"/>
    <mergeCell ref="M37:N37"/>
    <mergeCell ref="A37:B37"/>
    <mergeCell ref="C39:D39"/>
    <mergeCell ref="E39:F39"/>
    <mergeCell ref="G39:H39"/>
    <mergeCell ref="I39:J39"/>
    <mergeCell ref="K39:L39"/>
    <mergeCell ref="M39:N39"/>
    <mergeCell ref="A39:B39"/>
    <mergeCell ref="C26:D26"/>
    <mergeCell ref="E26:F26"/>
    <mergeCell ref="G26:H26"/>
    <mergeCell ref="I26:J26"/>
    <mergeCell ref="K26:L26"/>
    <mergeCell ref="M26:N26"/>
    <mergeCell ref="A26:B26"/>
    <mergeCell ref="C27:D27"/>
    <mergeCell ref="E27:F27"/>
    <mergeCell ref="G27:H27"/>
    <mergeCell ref="I27:J27"/>
    <mergeCell ref="K27:L27"/>
    <mergeCell ref="M27:N27"/>
    <mergeCell ref="A27:B27"/>
    <mergeCell ref="C24:D24"/>
    <mergeCell ref="E24:F24"/>
    <mergeCell ref="G24:H24"/>
    <mergeCell ref="I24:J24"/>
    <mergeCell ref="K24:L24"/>
    <mergeCell ref="M24:N24"/>
    <mergeCell ref="A24:B24"/>
    <mergeCell ref="C25:D25"/>
    <mergeCell ref="E25:F25"/>
    <mergeCell ref="G25:H25"/>
    <mergeCell ref="I25:J25"/>
    <mergeCell ref="K25:L25"/>
    <mergeCell ref="M25:N25"/>
    <mergeCell ref="A25:B25"/>
    <mergeCell ref="C19:D19"/>
    <mergeCell ref="E19:F19"/>
    <mergeCell ref="G19:H19"/>
    <mergeCell ref="I19:J19"/>
    <mergeCell ref="K19:L19"/>
    <mergeCell ref="M19:N19"/>
    <mergeCell ref="A19:B19"/>
    <mergeCell ref="C20:D20"/>
    <mergeCell ref="E20:F20"/>
    <mergeCell ref="G20:H20"/>
    <mergeCell ref="I20:J20"/>
    <mergeCell ref="K20:L20"/>
    <mergeCell ref="M20:N20"/>
    <mergeCell ref="A20:B20"/>
    <mergeCell ref="C17:D17"/>
    <mergeCell ref="E17:F17"/>
    <mergeCell ref="G17:H17"/>
    <mergeCell ref="I17:J17"/>
    <mergeCell ref="K17:L17"/>
    <mergeCell ref="M17:N17"/>
    <mergeCell ref="A17:B17"/>
    <mergeCell ref="C18:D18"/>
    <mergeCell ref="E18:F18"/>
    <mergeCell ref="G18:H18"/>
    <mergeCell ref="I18:J18"/>
    <mergeCell ref="K18:L18"/>
    <mergeCell ref="M18:N18"/>
    <mergeCell ref="A18:B18"/>
    <mergeCell ref="C15:D15"/>
    <mergeCell ref="E15:F15"/>
    <mergeCell ref="G15:H15"/>
    <mergeCell ref="I15:J15"/>
    <mergeCell ref="K15:L15"/>
    <mergeCell ref="M15:N15"/>
    <mergeCell ref="A15:B15"/>
    <mergeCell ref="C16:D16"/>
    <mergeCell ref="E16:F16"/>
    <mergeCell ref="G16:H16"/>
    <mergeCell ref="I16:J16"/>
    <mergeCell ref="K16:L16"/>
    <mergeCell ref="M16:N16"/>
    <mergeCell ref="A16:B16"/>
    <mergeCell ref="C12:D12"/>
    <mergeCell ref="E12:F12"/>
    <mergeCell ref="G12:H12"/>
    <mergeCell ref="I12:J12"/>
    <mergeCell ref="K12:L12"/>
    <mergeCell ref="M12:N12"/>
    <mergeCell ref="A12:B12"/>
    <mergeCell ref="C13:D13"/>
    <mergeCell ref="E13:F13"/>
    <mergeCell ref="G13:H13"/>
    <mergeCell ref="I13:J13"/>
    <mergeCell ref="K13:L13"/>
    <mergeCell ref="M13:N13"/>
    <mergeCell ref="A13:B13"/>
    <mergeCell ref="C10:D10"/>
    <mergeCell ref="E10:F10"/>
    <mergeCell ref="G10:H10"/>
    <mergeCell ref="I10:J10"/>
    <mergeCell ref="K10:L10"/>
    <mergeCell ref="M10:N10"/>
    <mergeCell ref="A10:B10"/>
    <mergeCell ref="C11:D11"/>
    <mergeCell ref="E11:F11"/>
    <mergeCell ref="G11:H11"/>
    <mergeCell ref="I11:J11"/>
    <mergeCell ref="K11:L11"/>
    <mergeCell ref="M11:N11"/>
    <mergeCell ref="A11:B11"/>
  </mergeCells>
  <printOptions horizontalCentered="1" gridLines="1"/>
  <pageMargins left="0.25" right="0.25" top="0.5" bottom="0.5" header="0" footer="0"/>
  <pageSetup pageOrder="overThenDown" orientation="landscape" cellComments="atEnd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  <pageSetUpPr fitToPage="1"/>
  </sheetPr>
  <dimension ref="A1:N53"/>
  <sheetViews>
    <sheetView showGridLines="0" topLeftCell="A2" workbookViewId="0"/>
  </sheetViews>
  <sheetFormatPr defaultColWidth="12.5703125" defaultRowHeight="12.75" customHeight="1"/>
  <cols>
    <col min="1" max="1" width="3.85546875" customWidth="1"/>
    <col min="2" max="2" width="13.42578125" customWidth="1"/>
    <col min="3" max="3" width="3.85546875" customWidth="1"/>
    <col min="4" max="4" width="13.42578125" customWidth="1"/>
    <col min="5" max="5" width="3.85546875" customWidth="1"/>
    <col min="6" max="6" width="13.42578125" customWidth="1"/>
    <col min="7" max="7" width="3.85546875" customWidth="1"/>
    <col min="8" max="8" width="13.42578125" customWidth="1"/>
    <col min="9" max="9" width="3.85546875" customWidth="1"/>
    <col min="10" max="10" width="13.42578125" customWidth="1"/>
    <col min="11" max="11" width="3.85546875" customWidth="1"/>
    <col min="12" max="12" width="13.42578125" customWidth="1"/>
    <col min="13" max="13" width="3.85546875" customWidth="1"/>
    <col min="14" max="14" width="13.42578125" customWidth="1"/>
  </cols>
  <sheetData>
    <row r="1" spans="1:14" ht="18" hidden="1" customHeight="1">
      <c r="A1" s="52">
        <f>EDATE('©'!A17,17)</f>
        <v>45627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4" ht="18" customHeight="1">
      <c r="A2" s="39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1:14" ht="18" customHeight="1">
      <c r="A3" s="29" t="s">
        <v>2</v>
      </c>
      <c r="B3" s="37"/>
      <c r="C3" s="27" t="s">
        <v>3</v>
      </c>
      <c r="D3" s="37"/>
      <c r="E3" s="19" t="s">
        <v>4</v>
      </c>
      <c r="F3" s="37"/>
      <c r="G3" s="21" t="s">
        <v>5</v>
      </c>
      <c r="H3" s="37"/>
      <c r="I3" s="56" t="s">
        <v>6</v>
      </c>
      <c r="J3" s="37"/>
      <c r="K3" s="23" t="s">
        <v>7</v>
      </c>
      <c r="L3" s="37"/>
      <c r="M3" s="25" t="s">
        <v>8</v>
      </c>
      <c r="N3" s="37"/>
    </row>
    <row r="4" spans="1:14" ht="60.75" customHeight="1">
      <c r="A4" s="42" t="str">
        <f>UPPER(TEXT(A1,"mmmm yyyy"))</f>
        <v>DECEMBER 2024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</row>
    <row r="5" spans="1:14" ht="15" customHeight="1">
      <c r="A5" s="40">
        <f>A14</f>
        <v>45628</v>
      </c>
      <c r="B5" s="41"/>
      <c r="C5" s="40">
        <f>C14</f>
        <v>45629</v>
      </c>
      <c r="D5" s="41"/>
      <c r="E5" s="40">
        <f>E14</f>
        <v>45630</v>
      </c>
      <c r="F5" s="41"/>
      <c r="G5" s="40">
        <f>G14</f>
        <v>45631</v>
      </c>
      <c r="H5" s="41"/>
      <c r="I5" s="40">
        <f>I14</f>
        <v>45632</v>
      </c>
      <c r="J5" s="41"/>
      <c r="K5" s="40">
        <f>K14</f>
        <v>45633</v>
      </c>
      <c r="L5" s="41"/>
      <c r="M5" s="40">
        <f>M14</f>
        <v>45634</v>
      </c>
      <c r="N5" s="41"/>
    </row>
    <row r="6" spans="1:14" ht="18" customHeight="1">
      <c r="A6" s="2" t="str">
        <f>IF(WEEKDAY($A$1,1)=startday,$A$1,"")</f>
        <v/>
      </c>
      <c r="B6" s="3"/>
      <c r="C6" s="2" t="str">
        <f>IF(A6="",IF(WEEKDAY($A$1,1)=MOD(startday,7)+1,$A$1,""),A6+1)</f>
        <v/>
      </c>
      <c r="D6" s="3"/>
      <c r="E6" s="2" t="str">
        <f>IF(C6="",IF(WEEKDAY($A$1,1)=MOD(startday,7)+2,$A$1,""),C6+1)</f>
        <v/>
      </c>
      <c r="F6" s="3"/>
      <c r="G6" s="2" t="str">
        <f>IF(E6="",IF(WEEKDAY($A$1,1)=MOD(startday,7)+3,$A$1,""),E6+1)</f>
        <v/>
      </c>
      <c r="H6" s="3"/>
      <c r="I6" s="2" t="str">
        <f>IF(G6="",IF(WEEKDAY($A$1,1)=MOD(startday,7)+4,$A$1,""),G6+1)</f>
        <v/>
      </c>
      <c r="J6" s="3"/>
      <c r="K6" s="4" t="str">
        <f>IF(I6="",IF(WEEKDAY($A$1,1)=MOD(startday,7)+5,$A$1,""),I6+1)</f>
        <v/>
      </c>
      <c r="L6" s="5"/>
      <c r="M6" s="4">
        <f>IF(K6="",IF(WEEKDAY($A$1,1)=MOD(startday+5,7)+1,$A$1,""),K6+1)</f>
        <v>45627</v>
      </c>
      <c r="N6" s="5"/>
    </row>
    <row r="7" spans="1:14" ht="14.1">
      <c r="A7" s="29"/>
      <c r="B7" s="20"/>
      <c r="C7" s="44"/>
      <c r="D7" s="20"/>
      <c r="E7" s="29" t="s">
        <v>135</v>
      </c>
      <c r="F7" s="20"/>
      <c r="G7" s="29" t="s">
        <v>136</v>
      </c>
      <c r="H7" s="20"/>
      <c r="I7" s="44" t="s">
        <v>49</v>
      </c>
      <c r="J7" s="20"/>
      <c r="K7" s="44" t="s">
        <v>50</v>
      </c>
      <c r="L7" s="20"/>
      <c r="M7" s="44" t="s">
        <v>50</v>
      </c>
      <c r="N7" s="20"/>
    </row>
    <row r="8" spans="1:14" ht="14.1">
      <c r="A8" s="27"/>
      <c r="B8" s="20"/>
      <c r="C8" s="26"/>
      <c r="D8" s="20"/>
      <c r="E8" s="26" t="s">
        <v>16</v>
      </c>
      <c r="F8" s="20"/>
      <c r="G8" s="26" t="s">
        <v>16</v>
      </c>
      <c r="H8" s="20"/>
      <c r="I8" s="26" t="s">
        <v>16</v>
      </c>
      <c r="J8" s="20"/>
      <c r="K8" s="26" t="s">
        <v>16</v>
      </c>
      <c r="L8" s="20"/>
      <c r="M8" s="26" t="s">
        <v>16</v>
      </c>
      <c r="N8" s="20"/>
    </row>
    <row r="9" spans="1:14" ht="14.1">
      <c r="A9" s="19"/>
      <c r="B9" s="20"/>
      <c r="C9" s="35"/>
      <c r="D9" s="20"/>
      <c r="E9" s="19" t="s">
        <v>9</v>
      </c>
      <c r="F9" s="20"/>
      <c r="G9" s="19" t="s">
        <v>9</v>
      </c>
      <c r="H9" s="20"/>
      <c r="I9" s="19" t="s">
        <v>31</v>
      </c>
      <c r="J9" s="20"/>
      <c r="K9" s="35" t="s">
        <v>11</v>
      </c>
      <c r="L9" s="20"/>
      <c r="M9" s="35" t="s">
        <v>11</v>
      </c>
      <c r="N9" s="20"/>
    </row>
    <row r="10" spans="1:14" ht="14.1">
      <c r="A10" s="21"/>
      <c r="B10" s="20"/>
      <c r="C10" s="30"/>
      <c r="D10" s="20"/>
      <c r="E10" s="30" t="s">
        <v>15</v>
      </c>
      <c r="F10" s="20"/>
      <c r="G10" s="30" t="s">
        <v>15</v>
      </c>
      <c r="H10" s="20"/>
      <c r="I10" s="30" t="s">
        <v>89</v>
      </c>
      <c r="J10" s="20"/>
      <c r="K10" s="30" t="s">
        <v>89</v>
      </c>
      <c r="L10" s="20"/>
      <c r="M10" s="30" t="s">
        <v>89</v>
      </c>
      <c r="N10" s="20"/>
    </row>
    <row r="11" spans="1:14" ht="14.1">
      <c r="A11" s="56"/>
      <c r="B11" s="20"/>
      <c r="C11" s="57"/>
      <c r="D11" s="20"/>
      <c r="E11" s="57" t="s">
        <v>25</v>
      </c>
      <c r="F11" s="20"/>
      <c r="G11" s="57" t="s">
        <v>25</v>
      </c>
      <c r="H11" s="20"/>
      <c r="I11" s="57" t="s">
        <v>25</v>
      </c>
      <c r="J11" s="20"/>
      <c r="K11" s="57" t="s">
        <v>25</v>
      </c>
      <c r="L11" s="20"/>
      <c r="M11" s="57" t="s">
        <v>25</v>
      </c>
      <c r="N11" s="20"/>
    </row>
    <row r="12" spans="1:14" ht="14.1">
      <c r="A12" s="23"/>
      <c r="B12" s="20"/>
      <c r="C12" s="22"/>
      <c r="D12" s="20"/>
      <c r="E12" s="23" t="s">
        <v>28</v>
      </c>
      <c r="F12" s="20"/>
      <c r="G12" s="22" t="s">
        <v>26</v>
      </c>
      <c r="H12" s="20"/>
      <c r="I12" s="22" t="s">
        <v>137</v>
      </c>
      <c r="J12" s="20"/>
      <c r="K12" s="22" t="s">
        <v>137</v>
      </c>
      <c r="L12" s="20"/>
      <c r="M12" s="22" t="s">
        <v>137</v>
      </c>
      <c r="N12" s="20"/>
    </row>
    <row r="13" spans="1:14" ht="18" customHeight="1">
      <c r="A13" s="25"/>
      <c r="B13" s="20"/>
      <c r="C13" s="31"/>
      <c r="D13" s="24"/>
      <c r="E13" s="31" t="s">
        <v>30</v>
      </c>
      <c r="F13" s="24"/>
      <c r="G13" s="31" t="s">
        <v>29</v>
      </c>
      <c r="H13" s="24"/>
      <c r="I13" s="31" t="s">
        <v>30</v>
      </c>
      <c r="J13" s="24"/>
      <c r="K13" s="31" t="s">
        <v>30</v>
      </c>
      <c r="L13" s="24"/>
      <c r="M13" s="31" t="s">
        <v>30</v>
      </c>
      <c r="N13" s="24"/>
    </row>
    <row r="14" spans="1:14" ht="18" customHeight="1">
      <c r="A14" s="2">
        <f>M6+1</f>
        <v>45628</v>
      </c>
      <c r="B14" s="3"/>
      <c r="C14" s="2">
        <f>A14+1</f>
        <v>45629</v>
      </c>
      <c r="D14" s="3"/>
      <c r="E14" s="2">
        <f>C14+1</f>
        <v>45630</v>
      </c>
      <c r="F14" s="3"/>
      <c r="G14" s="2">
        <f>E14+1</f>
        <v>45631</v>
      </c>
      <c r="H14" s="3"/>
      <c r="I14" s="2">
        <f>G14+1</f>
        <v>45632</v>
      </c>
      <c r="J14" s="3"/>
      <c r="K14" s="4">
        <f>I14+1</f>
        <v>45633</v>
      </c>
      <c r="L14" s="5"/>
      <c r="M14" s="4">
        <f>K14+1</f>
        <v>45634</v>
      </c>
      <c r="N14" s="5"/>
    </row>
    <row r="15" spans="1:14" ht="14.1">
      <c r="A15" s="29" t="s">
        <v>52</v>
      </c>
      <c r="B15" s="20"/>
      <c r="C15" s="29" t="s">
        <v>50</v>
      </c>
      <c r="D15" s="20"/>
      <c r="E15" s="29" t="s">
        <v>52</v>
      </c>
      <c r="F15" s="20"/>
      <c r="G15" s="29" t="s">
        <v>50</v>
      </c>
      <c r="H15" s="20"/>
      <c r="I15" s="44" t="s">
        <v>53</v>
      </c>
      <c r="J15" s="20"/>
      <c r="K15" s="44" t="s">
        <v>9</v>
      </c>
      <c r="L15" s="20"/>
      <c r="M15" s="44" t="s">
        <v>9</v>
      </c>
      <c r="N15" s="20"/>
    </row>
    <row r="16" spans="1:14" ht="14.1">
      <c r="A16" s="27" t="s">
        <v>42</v>
      </c>
      <c r="B16" s="20"/>
      <c r="C16" s="27" t="s">
        <v>42</v>
      </c>
      <c r="D16" s="20"/>
      <c r="E16" s="27" t="s">
        <v>42</v>
      </c>
      <c r="F16" s="20"/>
      <c r="G16" s="27" t="s">
        <v>42</v>
      </c>
      <c r="H16" s="20"/>
      <c r="I16" s="26" t="s">
        <v>59</v>
      </c>
      <c r="J16" s="20"/>
      <c r="K16" s="26" t="s">
        <v>59</v>
      </c>
      <c r="L16" s="20"/>
      <c r="M16" s="26" t="s">
        <v>59</v>
      </c>
      <c r="N16" s="20"/>
    </row>
    <row r="17" spans="1:14" ht="14.1">
      <c r="A17" s="19" t="s">
        <v>9</v>
      </c>
      <c r="B17" s="20"/>
      <c r="C17" s="19" t="s">
        <v>9</v>
      </c>
      <c r="D17" s="20"/>
      <c r="E17" s="19" t="s">
        <v>9</v>
      </c>
      <c r="F17" s="20"/>
      <c r="G17" s="19" t="s">
        <v>9</v>
      </c>
      <c r="H17" s="20"/>
      <c r="I17" s="19" t="s">
        <v>13</v>
      </c>
      <c r="J17" s="20"/>
      <c r="K17" s="19" t="s">
        <v>76</v>
      </c>
      <c r="L17" s="20"/>
      <c r="M17" s="19" t="s">
        <v>76</v>
      </c>
      <c r="N17" s="20"/>
    </row>
    <row r="18" spans="1:14" ht="14.1">
      <c r="A18" s="21" t="s">
        <v>89</v>
      </c>
      <c r="B18" s="20"/>
      <c r="C18" s="21" t="s">
        <v>89</v>
      </c>
      <c r="D18" s="20"/>
      <c r="E18" s="21" t="s">
        <v>89</v>
      </c>
      <c r="F18" s="20"/>
      <c r="G18" s="21" t="s">
        <v>89</v>
      </c>
      <c r="H18" s="20"/>
      <c r="I18" s="21" t="s">
        <v>24</v>
      </c>
      <c r="J18" s="20"/>
      <c r="K18" s="21" t="s">
        <v>24</v>
      </c>
      <c r="L18" s="20"/>
      <c r="M18" s="21" t="s">
        <v>24</v>
      </c>
      <c r="N18" s="20"/>
    </row>
    <row r="19" spans="1:14" ht="14.1">
      <c r="A19" s="56" t="s">
        <v>16</v>
      </c>
      <c r="B19" s="20"/>
      <c r="C19" s="56" t="s">
        <v>16</v>
      </c>
      <c r="D19" s="20"/>
      <c r="E19" s="56" t="s">
        <v>16</v>
      </c>
      <c r="F19" s="20"/>
      <c r="G19" s="56" t="s">
        <v>16</v>
      </c>
      <c r="H19" s="20"/>
      <c r="I19" s="56" t="s">
        <v>16</v>
      </c>
      <c r="J19" s="20"/>
      <c r="K19" s="56" t="s">
        <v>16</v>
      </c>
      <c r="L19" s="20"/>
      <c r="M19" s="56" t="s">
        <v>16</v>
      </c>
      <c r="N19" s="20"/>
    </row>
    <row r="20" spans="1:14" ht="14.1">
      <c r="A20" s="23" t="s">
        <v>26</v>
      </c>
      <c r="B20" s="20"/>
      <c r="C20" s="22" t="s">
        <v>26</v>
      </c>
      <c r="D20" s="20"/>
      <c r="E20" s="23" t="s">
        <v>28</v>
      </c>
      <c r="F20" s="20"/>
      <c r="G20" s="22" t="s">
        <v>17</v>
      </c>
      <c r="H20" s="20"/>
      <c r="I20" s="22" t="s">
        <v>138</v>
      </c>
      <c r="J20" s="20"/>
      <c r="K20" s="22" t="s">
        <v>138</v>
      </c>
      <c r="L20" s="20"/>
      <c r="M20" s="22" t="s">
        <v>138</v>
      </c>
      <c r="N20" s="20"/>
    </row>
    <row r="21" spans="1:14" ht="18" customHeight="1">
      <c r="A21" s="25" t="s">
        <v>139</v>
      </c>
      <c r="B21" s="20"/>
      <c r="C21" s="25" t="s">
        <v>139</v>
      </c>
      <c r="D21" s="20"/>
      <c r="E21" s="25" t="s">
        <v>140</v>
      </c>
      <c r="F21" s="20"/>
      <c r="G21" s="25" t="s">
        <v>139</v>
      </c>
      <c r="H21" s="20"/>
      <c r="I21" s="25" t="s">
        <v>140</v>
      </c>
      <c r="J21" s="20"/>
      <c r="K21" s="25" t="s">
        <v>141</v>
      </c>
      <c r="L21" s="20"/>
      <c r="M21" s="25" t="s">
        <v>141</v>
      </c>
      <c r="N21" s="20"/>
    </row>
    <row r="22" spans="1:14" ht="18" customHeight="1">
      <c r="A22" s="2">
        <f>M14+1</f>
        <v>45635</v>
      </c>
      <c r="B22" s="3"/>
      <c r="C22" s="2">
        <f>A22+1</f>
        <v>45636</v>
      </c>
      <c r="D22" s="3"/>
      <c r="E22" s="2">
        <f>C22+1</f>
        <v>45637</v>
      </c>
      <c r="F22" s="3"/>
      <c r="G22" s="2">
        <f>E22+1</f>
        <v>45638</v>
      </c>
      <c r="H22" s="3"/>
      <c r="I22" s="2">
        <f>G22+1</f>
        <v>45639</v>
      </c>
      <c r="J22" s="3"/>
      <c r="K22" s="4">
        <f>I22+1</f>
        <v>45640</v>
      </c>
      <c r="L22" s="5"/>
      <c r="M22" s="4">
        <f>K22+1</f>
        <v>45641</v>
      </c>
      <c r="N22" s="5"/>
    </row>
    <row r="23" spans="1:14" ht="14.1">
      <c r="A23" s="29" t="s">
        <v>53</v>
      </c>
      <c r="B23" s="20"/>
      <c r="C23" s="29" t="s">
        <v>9</v>
      </c>
      <c r="D23" s="20"/>
      <c r="E23" s="29" t="s">
        <v>105</v>
      </c>
      <c r="F23" s="20"/>
      <c r="G23" s="29" t="s">
        <v>105</v>
      </c>
      <c r="H23" s="20"/>
      <c r="I23" s="29" t="s">
        <v>105</v>
      </c>
      <c r="J23" s="20"/>
      <c r="K23" s="29" t="s">
        <v>105</v>
      </c>
      <c r="L23" s="20"/>
      <c r="M23" s="29" t="s">
        <v>105</v>
      </c>
      <c r="N23" s="20"/>
    </row>
    <row r="24" spans="1:14" ht="14.1">
      <c r="A24" s="27" t="s">
        <v>59</v>
      </c>
      <c r="B24" s="20"/>
      <c r="C24" s="27" t="s">
        <v>59</v>
      </c>
      <c r="D24" s="20"/>
      <c r="E24" s="27" t="s">
        <v>59</v>
      </c>
      <c r="F24" s="20"/>
      <c r="G24" s="27" t="s">
        <v>59</v>
      </c>
      <c r="H24" s="20"/>
      <c r="I24" s="26" t="s">
        <v>51</v>
      </c>
      <c r="J24" s="20"/>
      <c r="K24" s="26" t="s">
        <v>51</v>
      </c>
      <c r="L24" s="20"/>
      <c r="M24" s="26" t="s">
        <v>51</v>
      </c>
      <c r="N24" s="20"/>
    </row>
    <row r="25" spans="1:14" ht="14.1">
      <c r="A25" s="19" t="s">
        <v>13</v>
      </c>
      <c r="B25" s="20"/>
      <c r="C25" s="19" t="s">
        <v>13</v>
      </c>
      <c r="D25" s="20"/>
      <c r="E25" s="19" t="s">
        <v>13</v>
      </c>
      <c r="F25" s="20"/>
      <c r="G25" s="19" t="s">
        <v>13</v>
      </c>
      <c r="H25" s="20"/>
      <c r="I25" s="19" t="s">
        <v>12</v>
      </c>
      <c r="J25" s="20"/>
      <c r="K25" s="19" t="s">
        <v>142</v>
      </c>
      <c r="L25" s="20"/>
      <c r="M25" s="19" t="s">
        <v>142</v>
      </c>
      <c r="N25" s="20"/>
    </row>
    <row r="26" spans="1:14" ht="14.1">
      <c r="A26" s="21" t="s">
        <v>24</v>
      </c>
      <c r="B26" s="20"/>
      <c r="C26" s="21" t="s">
        <v>24</v>
      </c>
      <c r="D26" s="20"/>
      <c r="E26" s="21" t="s">
        <v>24</v>
      </c>
      <c r="F26" s="20"/>
      <c r="G26" s="21" t="s">
        <v>24</v>
      </c>
      <c r="H26" s="20"/>
      <c r="I26" s="21" t="s">
        <v>24</v>
      </c>
      <c r="J26" s="20"/>
      <c r="K26" s="21" t="s">
        <v>24</v>
      </c>
      <c r="L26" s="20"/>
      <c r="M26" s="21" t="s">
        <v>24</v>
      </c>
      <c r="N26" s="20"/>
    </row>
    <row r="27" spans="1:14" ht="14.1">
      <c r="A27" s="56" t="s">
        <v>43</v>
      </c>
      <c r="B27" s="20"/>
      <c r="C27" s="56" t="s">
        <v>43</v>
      </c>
      <c r="D27" s="20"/>
      <c r="E27" s="56" t="s">
        <v>43</v>
      </c>
      <c r="F27" s="20"/>
      <c r="G27" s="56" t="s">
        <v>43</v>
      </c>
      <c r="H27" s="20"/>
      <c r="I27" s="56" t="s">
        <v>43</v>
      </c>
      <c r="J27" s="20"/>
      <c r="K27" s="56" t="s">
        <v>43</v>
      </c>
      <c r="L27" s="20"/>
      <c r="M27" s="56" t="s">
        <v>43</v>
      </c>
      <c r="N27" s="20"/>
    </row>
    <row r="28" spans="1:14" ht="14.1">
      <c r="A28" s="23" t="s">
        <v>17</v>
      </c>
      <c r="B28" s="20"/>
      <c r="C28" s="22" t="s">
        <v>17</v>
      </c>
      <c r="D28" s="20"/>
      <c r="E28" s="23" t="s">
        <v>17</v>
      </c>
      <c r="F28" s="20"/>
      <c r="G28" s="22" t="s">
        <v>71</v>
      </c>
      <c r="H28" s="20"/>
      <c r="I28" s="22" t="s">
        <v>26</v>
      </c>
      <c r="J28" s="20"/>
      <c r="K28" s="22" t="s">
        <v>26</v>
      </c>
      <c r="L28" s="20"/>
      <c r="M28" s="22" t="s">
        <v>26</v>
      </c>
      <c r="N28" s="20"/>
    </row>
    <row r="29" spans="1:14" ht="18" customHeight="1">
      <c r="A29" s="25" t="s">
        <v>143</v>
      </c>
      <c r="B29" s="20"/>
      <c r="C29" s="25" t="s">
        <v>143</v>
      </c>
      <c r="D29" s="20"/>
      <c r="E29" s="25" t="s">
        <v>63</v>
      </c>
      <c r="F29" s="20"/>
      <c r="G29" s="25" t="s">
        <v>63</v>
      </c>
      <c r="H29" s="20"/>
      <c r="I29" s="25" t="s">
        <v>143</v>
      </c>
      <c r="J29" s="20"/>
      <c r="K29" s="25" t="s">
        <v>130</v>
      </c>
      <c r="L29" s="20"/>
      <c r="M29" s="25" t="s">
        <v>144</v>
      </c>
      <c r="N29" s="20"/>
    </row>
    <row r="30" spans="1:14" ht="18" customHeight="1">
      <c r="A30" s="4">
        <f>M22+1</f>
        <v>45642</v>
      </c>
      <c r="B30" s="5"/>
      <c r="C30" s="4">
        <f>A30+1</f>
        <v>45643</v>
      </c>
      <c r="D30" s="5"/>
      <c r="E30" s="4">
        <f>C30+1</f>
        <v>45644</v>
      </c>
      <c r="F30" s="5"/>
      <c r="G30" s="4">
        <f>E30+1</f>
        <v>45645</v>
      </c>
      <c r="H30" s="5"/>
      <c r="I30" s="4">
        <f>G30+1</f>
        <v>45646</v>
      </c>
      <c r="J30" s="5"/>
      <c r="K30" s="4">
        <f>I30+1</f>
        <v>45647</v>
      </c>
      <c r="L30" s="5"/>
      <c r="M30" s="4">
        <f>K30+1</f>
        <v>45648</v>
      </c>
      <c r="N30" s="5"/>
    </row>
    <row r="31" spans="1:14" ht="14.1">
      <c r="A31" s="29" t="s">
        <v>85</v>
      </c>
      <c r="B31" s="20"/>
      <c r="C31" s="29" t="s">
        <v>24</v>
      </c>
      <c r="D31" s="20"/>
      <c r="E31" s="29" t="s">
        <v>145</v>
      </c>
      <c r="F31" s="20"/>
      <c r="G31" s="29" t="s">
        <v>9</v>
      </c>
      <c r="H31" s="20"/>
      <c r="I31" s="44" t="s">
        <v>9</v>
      </c>
      <c r="J31" s="20"/>
      <c r="K31" s="44" t="s">
        <v>9</v>
      </c>
      <c r="L31" s="20"/>
      <c r="M31" s="44" t="s">
        <v>50</v>
      </c>
      <c r="N31" s="20"/>
    </row>
    <row r="32" spans="1:14" ht="14.1">
      <c r="A32" s="27" t="s">
        <v>51</v>
      </c>
      <c r="B32" s="20"/>
      <c r="C32" s="27" t="s">
        <v>51</v>
      </c>
      <c r="D32" s="20"/>
      <c r="E32" s="27" t="s">
        <v>51</v>
      </c>
      <c r="F32" s="20"/>
      <c r="G32" s="27" t="s">
        <v>51</v>
      </c>
      <c r="H32" s="20"/>
      <c r="I32" s="26" t="s">
        <v>12</v>
      </c>
      <c r="J32" s="20"/>
      <c r="K32" s="26" t="s">
        <v>12</v>
      </c>
      <c r="L32" s="20"/>
      <c r="M32" s="26" t="s">
        <v>12</v>
      </c>
      <c r="N32" s="20"/>
    </row>
    <row r="33" spans="1:14" ht="14.1">
      <c r="A33" s="19" t="s">
        <v>11</v>
      </c>
      <c r="B33" s="20"/>
      <c r="C33" s="19" t="s">
        <v>11</v>
      </c>
      <c r="D33" s="20"/>
      <c r="E33" s="19" t="s">
        <v>13</v>
      </c>
      <c r="F33" s="20"/>
      <c r="G33" s="19" t="s">
        <v>13</v>
      </c>
      <c r="H33" s="20"/>
      <c r="I33" s="19" t="s">
        <v>13</v>
      </c>
      <c r="J33" s="20"/>
      <c r="K33" s="19" t="s">
        <v>13</v>
      </c>
      <c r="L33" s="20"/>
      <c r="M33" s="19" t="s">
        <v>13</v>
      </c>
      <c r="N33" s="20"/>
    </row>
    <row r="34" spans="1:14" ht="14.1">
      <c r="A34" s="21" t="s">
        <v>24</v>
      </c>
      <c r="B34" s="20"/>
      <c r="C34" s="21" t="s">
        <v>15</v>
      </c>
      <c r="D34" s="20"/>
      <c r="E34" s="21" t="s">
        <v>15</v>
      </c>
      <c r="F34" s="20"/>
      <c r="G34" s="21" t="s">
        <v>15</v>
      </c>
      <c r="H34" s="20"/>
      <c r="I34" s="21" t="s">
        <v>15</v>
      </c>
      <c r="J34" s="20"/>
      <c r="K34" s="21" t="s">
        <v>15</v>
      </c>
      <c r="L34" s="20"/>
      <c r="M34" s="21" t="s">
        <v>15</v>
      </c>
      <c r="N34" s="20"/>
    </row>
    <row r="35" spans="1:14" ht="14.1">
      <c r="A35" s="56" t="s">
        <v>25</v>
      </c>
      <c r="B35" s="20"/>
      <c r="C35" s="56" t="s">
        <v>25</v>
      </c>
      <c r="D35" s="20"/>
      <c r="E35" s="56" t="s">
        <v>25</v>
      </c>
      <c r="F35" s="20"/>
      <c r="G35" s="56" t="s">
        <v>25</v>
      </c>
      <c r="H35" s="20"/>
      <c r="I35" s="56" t="s">
        <v>25</v>
      </c>
      <c r="J35" s="20"/>
      <c r="K35" s="56" t="s">
        <v>25</v>
      </c>
      <c r="L35" s="20"/>
      <c r="M35" s="56" t="s">
        <v>25</v>
      </c>
      <c r="N35" s="20"/>
    </row>
    <row r="36" spans="1:14" ht="14.1">
      <c r="A36" s="23" t="s">
        <v>27</v>
      </c>
      <c r="B36" s="20"/>
      <c r="C36" s="22" t="s">
        <v>27</v>
      </c>
      <c r="D36" s="20"/>
      <c r="E36" s="23" t="s">
        <v>26</v>
      </c>
      <c r="F36" s="20"/>
      <c r="G36" s="22" t="s">
        <v>26</v>
      </c>
      <c r="H36" s="20"/>
      <c r="I36" s="22" t="s">
        <v>17</v>
      </c>
      <c r="J36" s="20"/>
      <c r="K36" s="22" t="s">
        <v>17</v>
      </c>
      <c r="L36" s="20"/>
      <c r="M36" s="22" t="s">
        <v>17</v>
      </c>
      <c r="N36" s="20"/>
    </row>
    <row r="37" spans="1:14" ht="18" customHeight="1">
      <c r="A37" s="25" t="s">
        <v>30</v>
      </c>
      <c r="B37" s="20"/>
      <c r="C37" s="25" t="s">
        <v>30</v>
      </c>
      <c r="D37" s="20"/>
      <c r="E37" s="25" t="s">
        <v>29</v>
      </c>
      <c r="F37" s="20"/>
      <c r="G37" s="25" t="s">
        <v>29</v>
      </c>
      <c r="H37" s="20"/>
      <c r="I37" s="25" t="s">
        <v>29</v>
      </c>
      <c r="J37" s="20"/>
      <c r="K37" s="25" t="s">
        <v>146</v>
      </c>
      <c r="L37" s="20"/>
      <c r="M37" s="25" t="s">
        <v>146</v>
      </c>
      <c r="N37" s="20"/>
    </row>
    <row r="38" spans="1:14" ht="18" customHeight="1">
      <c r="A38" s="4">
        <f>IF(M30="","",IF(MONTH(M30+1)&lt;&gt;MONTH($A$1),"",M30+1))</f>
        <v>45649</v>
      </c>
      <c r="B38" s="5"/>
      <c r="C38" s="4">
        <f>IF(A38="","",IF(MONTH(A38+1)&lt;&gt;MONTH($A$1),"",A38+1))</f>
        <v>45650</v>
      </c>
      <c r="D38" s="5"/>
      <c r="E38" s="4">
        <f>IF(C38="","",IF(MONTH(C38+1)&lt;&gt;MONTH($A$1),"",C38+1))</f>
        <v>45651</v>
      </c>
      <c r="F38" s="5"/>
      <c r="G38" s="4">
        <f>IF(E38="","",IF(MONTH(E38+1)&lt;&gt;MONTH($A$1),"",E38+1))</f>
        <v>45652</v>
      </c>
      <c r="H38" s="5"/>
      <c r="I38" s="4">
        <f>IF(G38="","",IF(MONTH(G38+1)&lt;&gt;MONTH($A$1),"",G38+1))</f>
        <v>45653</v>
      </c>
      <c r="J38" s="5"/>
      <c r="K38" s="4">
        <f>IF(I38="","",IF(MONTH(I38+1)&lt;&gt;MONTH($A$1),"",I38+1))</f>
        <v>45654</v>
      </c>
      <c r="L38" s="5"/>
      <c r="M38" s="4">
        <f>IF(K38="","",IF(MONTH(K38+1)&lt;&gt;MONTH($A$1),"",K38+1))</f>
        <v>45655</v>
      </c>
      <c r="N38" s="5"/>
    </row>
    <row r="39" spans="1:14" ht="14.1">
      <c r="A39" s="29" t="s">
        <v>50</v>
      </c>
      <c r="B39" s="20"/>
      <c r="C39" s="29" t="s">
        <v>50</v>
      </c>
      <c r="D39" s="20"/>
      <c r="E39" s="29" t="s">
        <v>125</v>
      </c>
      <c r="F39" s="20"/>
      <c r="G39" s="29" t="s">
        <v>50</v>
      </c>
      <c r="H39" s="20"/>
      <c r="I39" s="29" t="s">
        <v>49</v>
      </c>
      <c r="J39" s="20"/>
      <c r="K39" s="44"/>
      <c r="L39" s="20"/>
      <c r="M39" s="44"/>
      <c r="N39" s="20"/>
    </row>
    <row r="40" spans="1:14" ht="14.1">
      <c r="A40" s="27" t="s">
        <v>12</v>
      </c>
      <c r="B40" s="20"/>
      <c r="C40" s="27" t="s">
        <v>12</v>
      </c>
      <c r="D40" s="20"/>
      <c r="E40" s="27" t="s">
        <v>12</v>
      </c>
      <c r="F40" s="20"/>
      <c r="G40" s="27" t="s">
        <v>12</v>
      </c>
      <c r="H40" s="20"/>
      <c r="I40" s="26" t="s">
        <v>54</v>
      </c>
      <c r="J40" s="20"/>
      <c r="K40" s="26"/>
      <c r="L40" s="20"/>
      <c r="M40" s="26"/>
      <c r="N40" s="20"/>
    </row>
    <row r="41" spans="1:14" ht="14.1">
      <c r="A41" s="19" t="s">
        <v>13</v>
      </c>
      <c r="B41" s="20"/>
      <c r="C41" s="19" t="s">
        <v>11</v>
      </c>
      <c r="D41" s="20"/>
      <c r="E41" s="19" t="s">
        <v>11</v>
      </c>
      <c r="F41" s="20"/>
      <c r="G41" s="19" t="s">
        <v>40</v>
      </c>
      <c r="H41" s="20"/>
      <c r="I41" s="19" t="s">
        <v>40</v>
      </c>
      <c r="J41" s="20"/>
      <c r="K41" s="19"/>
      <c r="L41" s="20"/>
      <c r="M41" s="35"/>
      <c r="N41" s="20"/>
    </row>
    <row r="42" spans="1:14" ht="14.1">
      <c r="A42" s="21" t="s">
        <v>15</v>
      </c>
      <c r="B42" s="20"/>
      <c r="C42" s="21" t="s">
        <v>15</v>
      </c>
      <c r="D42" s="20"/>
      <c r="E42" s="21" t="s">
        <v>89</v>
      </c>
      <c r="F42" s="20"/>
      <c r="G42" s="21" t="s">
        <v>89</v>
      </c>
      <c r="H42" s="20"/>
      <c r="I42" s="21" t="s">
        <v>89</v>
      </c>
      <c r="J42" s="20"/>
      <c r="K42" s="30"/>
      <c r="L42" s="20"/>
      <c r="M42" s="30"/>
      <c r="N42" s="20"/>
    </row>
    <row r="43" spans="1:14" ht="14.1">
      <c r="A43" s="56" t="s">
        <v>16</v>
      </c>
      <c r="B43" s="20"/>
      <c r="C43" s="56" t="s">
        <v>16</v>
      </c>
      <c r="D43" s="20"/>
      <c r="E43" s="56" t="s">
        <v>16</v>
      </c>
      <c r="F43" s="20"/>
      <c r="G43" s="56" t="s">
        <v>16</v>
      </c>
      <c r="H43" s="20"/>
      <c r="I43" s="56" t="s">
        <v>16</v>
      </c>
      <c r="J43" s="20"/>
      <c r="K43" s="57"/>
      <c r="L43" s="20"/>
      <c r="M43" s="57"/>
      <c r="N43" s="20"/>
    </row>
    <row r="44" spans="1:14" ht="14.1">
      <c r="A44" s="23" t="s">
        <v>28</v>
      </c>
      <c r="B44" s="20"/>
      <c r="C44" s="22" t="s">
        <v>17</v>
      </c>
      <c r="D44" s="20"/>
      <c r="E44" s="23" t="s">
        <v>28</v>
      </c>
      <c r="F44" s="20"/>
      <c r="G44" s="22" t="s">
        <v>126</v>
      </c>
      <c r="H44" s="20"/>
      <c r="I44" s="22" t="s">
        <v>27</v>
      </c>
      <c r="J44" s="20"/>
      <c r="K44" s="22"/>
      <c r="L44" s="20"/>
      <c r="M44" s="22"/>
      <c r="N44" s="20"/>
    </row>
    <row r="45" spans="1:14" ht="18" customHeight="1">
      <c r="A45" s="25" t="s">
        <v>30</v>
      </c>
      <c r="B45" s="20"/>
      <c r="C45" s="25" t="s">
        <v>29</v>
      </c>
      <c r="D45" s="20"/>
      <c r="E45" s="25" t="s">
        <v>30</v>
      </c>
      <c r="F45" s="20"/>
      <c r="G45" s="25" t="s">
        <v>30</v>
      </c>
      <c r="H45" s="20"/>
      <c r="I45" s="25" t="s">
        <v>30</v>
      </c>
      <c r="J45" s="20"/>
      <c r="K45" s="31"/>
      <c r="L45" s="24"/>
      <c r="M45" s="31"/>
      <c r="N45" s="24"/>
    </row>
    <row r="46" spans="1:14" ht="18" customHeight="1">
      <c r="A46" s="2">
        <f>IF(M38="","",IF(MONTH(M38+1)&lt;&gt;MONTH($A$1),"",M38+1))</f>
        <v>45656</v>
      </c>
      <c r="B46" s="3"/>
      <c r="C46" s="2">
        <f>IF(A46="","",IF(MONTH(A46+1)&lt;&gt;MONTH($A$1),"",A46+1))</f>
        <v>45657</v>
      </c>
      <c r="D46" s="3"/>
      <c r="E46" s="46" t="s">
        <v>22</v>
      </c>
      <c r="F46" s="47"/>
      <c r="G46" s="48"/>
      <c r="H46" s="47"/>
      <c r="I46" s="47"/>
      <c r="J46" s="47"/>
      <c r="K46" s="47"/>
      <c r="L46" s="47"/>
      <c r="M46" s="47"/>
      <c r="N46" s="49"/>
    </row>
    <row r="47" spans="1:14" ht="14.1">
      <c r="A47" s="29"/>
      <c r="B47" s="20"/>
      <c r="C47" s="44"/>
      <c r="D47" s="20"/>
      <c r="E47" s="45" t="s">
        <v>147</v>
      </c>
      <c r="F47" s="37"/>
      <c r="G47" s="37"/>
      <c r="H47" s="37"/>
      <c r="I47" s="37"/>
      <c r="J47" s="37"/>
      <c r="K47" s="37"/>
      <c r="L47" s="37"/>
      <c r="M47" s="37"/>
      <c r="N47" s="20"/>
    </row>
    <row r="48" spans="1:14" ht="14.1">
      <c r="A48" s="27"/>
      <c r="B48" s="20"/>
      <c r="C48" s="26"/>
      <c r="D48" s="20"/>
      <c r="E48" s="45" t="s">
        <v>148</v>
      </c>
      <c r="F48" s="37"/>
      <c r="G48" s="37"/>
      <c r="H48" s="37"/>
      <c r="I48" s="37"/>
      <c r="J48" s="37"/>
      <c r="K48" s="37"/>
      <c r="L48" s="37"/>
      <c r="M48" s="37"/>
      <c r="N48" s="20"/>
    </row>
    <row r="49" spans="1:14" ht="14.1">
      <c r="A49" s="19"/>
      <c r="B49" s="20"/>
      <c r="C49" s="35"/>
      <c r="D49" s="20"/>
      <c r="E49" s="45" t="s">
        <v>149</v>
      </c>
      <c r="F49" s="37"/>
      <c r="G49" s="37"/>
      <c r="H49" s="37"/>
      <c r="I49" s="37"/>
      <c r="J49" s="37"/>
      <c r="K49" s="37"/>
      <c r="L49" s="37"/>
      <c r="M49" s="37"/>
      <c r="N49" s="20"/>
    </row>
    <row r="50" spans="1:14" ht="14.1">
      <c r="A50" s="21"/>
      <c r="B50" s="20"/>
      <c r="C50" s="30"/>
      <c r="D50" s="20"/>
      <c r="E50" s="6"/>
      <c r="F50" s="7"/>
      <c r="G50" s="7"/>
      <c r="H50" s="7"/>
      <c r="I50" s="7"/>
      <c r="J50" s="7"/>
      <c r="K50" s="7"/>
      <c r="L50" s="7"/>
      <c r="M50" s="7"/>
      <c r="N50" s="8"/>
    </row>
    <row r="51" spans="1:14" ht="14.1">
      <c r="A51" s="56"/>
      <c r="B51" s="20"/>
      <c r="C51" s="57"/>
      <c r="D51" s="20"/>
      <c r="E51" s="6"/>
      <c r="F51" s="7"/>
      <c r="G51" s="7"/>
      <c r="H51" s="7"/>
      <c r="I51" s="7"/>
      <c r="J51" s="7"/>
      <c r="K51" s="7"/>
      <c r="L51" s="7"/>
      <c r="M51" s="7"/>
      <c r="N51" s="8"/>
    </row>
    <row r="52" spans="1:14" ht="14.1">
      <c r="A52" s="23"/>
      <c r="B52" s="20"/>
      <c r="C52" s="22"/>
      <c r="D52" s="20"/>
      <c r="E52" s="6"/>
      <c r="F52" s="7"/>
      <c r="G52" s="7"/>
      <c r="H52" s="7"/>
      <c r="I52" s="7"/>
      <c r="J52" s="7"/>
      <c r="K52" s="7"/>
      <c r="L52" s="7"/>
      <c r="M52" s="7"/>
      <c r="N52" s="8"/>
    </row>
    <row r="53" spans="1:14" ht="14.1">
      <c r="A53" s="25"/>
      <c r="B53" s="20"/>
      <c r="C53" s="31"/>
      <c r="D53" s="24"/>
      <c r="E53" s="32" t="s">
        <v>23</v>
      </c>
      <c r="F53" s="33"/>
      <c r="G53" s="33"/>
      <c r="H53" s="33"/>
      <c r="I53" s="34" t="str">
        <f>HYPERLINK("https://www.vertex42.com/calendars/academic-calendar.html","https://www.vertex42.com/calendars/academic-calendar.html")</f>
        <v>https://www.vertex42.com/calendars/academic-calendar.html</v>
      </c>
      <c r="J53" s="33"/>
      <c r="K53" s="33"/>
      <c r="L53" s="33"/>
      <c r="M53" s="33"/>
      <c r="N53" s="24"/>
    </row>
  </sheetData>
  <mergeCells count="283">
    <mergeCell ref="C42:D42"/>
    <mergeCell ref="E42:F42"/>
    <mergeCell ref="G42:H42"/>
    <mergeCell ref="I42:J42"/>
    <mergeCell ref="K42:L42"/>
    <mergeCell ref="M42:N42"/>
    <mergeCell ref="A42:B42"/>
    <mergeCell ref="C43:D43"/>
    <mergeCell ref="E43:F43"/>
    <mergeCell ref="G43:H43"/>
    <mergeCell ref="I43:J43"/>
    <mergeCell ref="K43:L43"/>
    <mergeCell ref="M43:N43"/>
    <mergeCell ref="A43:B43"/>
    <mergeCell ref="C40:D40"/>
    <mergeCell ref="E40:F40"/>
    <mergeCell ref="G40:H40"/>
    <mergeCell ref="I40:J40"/>
    <mergeCell ref="K40:L40"/>
    <mergeCell ref="M40:N40"/>
    <mergeCell ref="A40:B40"/>
    <mergeCell ref="C41:D41"/>
    <mergeCell ref="E41:F41"/>
    <mergeCell ref="G41:H41"/>
    <mergeCell ref="I41:J41"/>
    <mergeCell ref="K41:L41"/>
    <mergeCell ref="M41:N41"/>
    <mergeCell ref="A41:B41"/>
    <mergeCell ref="C35:D35"/>
    <mergeCell ref="E35:F35"/>
    <mergeCell ref="G35:H35"/>
    <mergeCell ref="I35:J35"/>
    <mergeCell ref="K35:L35"/>
    <mergeCell ref="M35:N35"/>
    <mergeCell ref="A35:B35"/>
    <mergeCell ref="C36:D36"/>
    <mergeCell ref="E36:F36"/>
    <mergeCell ref="G36:H36"/>
    <mergeCell ref="I36:J36"/>
    <mergeCell ref="K36:L36"/>
    <mergeCell ref="M36:N36"/>
    <mergeCell ref="A36:B36"/>
    <mergeCell ref="C33:D33"/>
    <mergeCell ref="E33:F33"/>
    <mergeCell ref="G33:H33"/>
    <mergeCell ref="I33:J33"/>
    <mergeCell ref="K33:L33"/>
    <mergeCell ref="M33:N33"/>
    <mergeCell ref="A33:B33"/>
    <mergeCell ref="C34:D34"/>
    <mergeCell ref="E34:F34"/>
    <mergeCell ref="G34:H34"/>
    <mergeCell ref="I34:J34"/>
    <mergeCell ref="K34:L34"/>
    <mergeCell ref="M34:N34"/>
    <mergeCell ref="A34:B34"/>
    <mergeCell ref="C31:D31"/>
    <mergeCell ref="E31:F31"/>
    <mergeCell ref="G31:H31"/>
    <mergeCell ref="I31:J31"/>
    <mergeCell ref="K31:L31"/>
    <mergeCell ref="M31:N31"/>
    <mergeCell ref="A31:B31"/>
    <mergeCell ref="C32:D32"/>
    <mergeCell ref="E32:F32"/>
    <mergeCell ref="G32:H32"/>
    <mergeCell ref="I32:J32"/>
    <mergeCell ref="K32:L32"/>
    <mergeCell ref="M32:N32"/>
    <mergeCell ref="A32:B32"/>
    <mergeCell ref="C28:D28"/>
    <mergeCell ref="E28:F28"/>
    <mergeCell ref="G28:H28"/>
    <mergeCell ref="I28:J28"/>
    <mergeCell ref="K28:L28"/>
    <mergeCell ref="M28:N28"/>
    <mergeCell ref="A28:B28"/>
    <mergeCell ref="C29:D29"/>
    <mergeCell ref="E29:F29"/>
    <mergeCell ref="G29:H29"/>
    <mergeCell ref="I29:J29"/>
    <mergeCell ref="K29:L29"/>
    <mergeCell ref="M29:N29"/>
    <mergeCell ref="A29:B29"/>
    <mergeCell ref="C21:D21"/>
    <mergeCell ref="E21:F21"/>
    <mergeCell ref="G21:H21"/>
    <mergeCell ref="I21:J21"/>
    <mergeCell ref="K21:L21"/>
    <mergeCell ref="M21:N21"/>
    <mergeCell ref="A21:B21"/>
    <mergeCell ref="C23:D23"/>
    <mergeCell ref="E23:F23"/>
    <mergeCell ref="G23:H23"/>
    <mergeCell ref="I23:J23"/>
    <mergeCell ref="K23:L23"/>
    <mergeCell ref="M23:N23"/>
    <mergeCell ref="A23:B23"/>
    <mergeCell ref="A52:B52"/>
    <mergeCell ref="C52:D52"/>
    <mergeCell ref="A53:B53"/>
    <mergeCell ref="C53:D53"/>
    <mergeCell ref="E53:H53"/>
    <mergeCell ref="I53:N53"/>
    <mergeCell ref="A49:B49"/>
    <mergeCell ref="C49:D49"/>
    <mergeCell ref="E49:N49"/>
    <mergeCell ref="A50:B50"/>
    <mergeCell ref="C50:D50"/>
    <mergeCell ref="A51:B51"/>
    <mergeCell ref="C51:D51"/>
    <mergeCell ref="C8:D8"/>
    <mergeCell ref="E8:F8"/>
    <mergeCell ref="G8:H8"/>
    <mergeCell ref="I8:J8"/>
    <mergeCell ref="K8:L8"/>
    <mergeCell ref="M8:N8"/>
    <mergeCell ref="A8:B8"/>
    <mergeCell ref="C9:D9"/>
    <mergeCell ref="E9:F9"/>
    <mergeCell ref="G9:H9"/>
    <mergeCell ref="I9:J9"/>
    <mergeCell ref="K9:L9"/>
    <mergeCell ref="M9:N9"/>
    <mergeCell ref="A9:B9"/>
    <mergeCell ref="C5:D5"/>
    <mergeCell ref="E5:F5"/>
    <mergeCell ref="G5:H5"/>
    <mergeCell ref="I5:J5"/>
    <mergeCell ref="K5:L5"/>
    <mergeCell ref="M5:N5"/>
    <mergeCell ref="A5:B5"/>
    <mergeCell ref="C7:D7"/>
    <mergeCell ref="E7:F7"/>
    <mergeCell ref="G7:H7"/>
    <mergeCell ref="I7:J7"/>
    <mergeCell ref="K7:L7"/>
    <mergeCell ref="M7:N7"/>
    <mergeCell ref="A7:B7"/>
    <mergeCell ref="K3:L3"/>
    <mergeCell ref="M3:N3"/>
    <mergeCell ref="A1:N1"/>
    <mergeCell ref="A2:N2"/>
    <mergeCell ref="C3:D3"/>
    <mergeCell ref="E3:F3"/>
    <mergeCell ref="G3:H3"/>
    <mergeCell ref="I3:J3"/>
    <mergeCell ref="A4:N4"/>
    <mergeCell ref="A3:B3"/>
    <mergeCell ref="C48:D48"/>
    <mergeCell ref="E48:N48"/>
    <mergeCell ref="E45:F45"/>
    <mergeCell ref="E46:F46"/>
    <mergeCell ref="G46:N46"/>
    <mergeCell ref="A47:B47"/>
    <mergeCell ref="C47:D47"/>
    <mergeCell ref="E47:N47"/>
    <mergeCell ref="A48:B48"/>
    <mergeCell ref="C44:D44"/>
    <mergeCell ref="E44:F44"/>
    <mergeCell ref="G44:H44"/>
    <mergeCell ref="I44:J44"/>
    <mergeCell ref="K44:L44"/>
    <mergeCell ref="M44:N44"/>
    <mergeCell ref="A44:B44"/>
    <mergeCell ref="A45:B45"/>
    <mergeCell ref="C45:D45"/>
    <mergeCell ref="G45:H45"/>
    <mergeCell ref="I45:J45"/>
    <mergeCell ref="K45:L45"/>
    <mergeCell ref="M45:N45"/>
    <mergeCell ref="C37:D37"/>
    <mergeCell ref="E37:F37"/>
    <mergeCell ref="G37:H37"/>
    <mergeCell ref="I37:J37"/>
    <mergeCell ref="K37:L37"/>
    <mergeCell ref="M37:N37"/>
    <mergeCell ref="A37:B37"/>
    <mergeCell ref="C39:D39"/>
    <mergeCell ref="E39:F39"/>
    <mergeCell ref="G39:H39"/>
    <mergeCell ref="I39:J39"/>
    <mergeCell ref="K39:L39"/>
    <mergeCell ref="M39:N39"/>
    <mergeCell ref="A39:B39"/>
    <mergeCell ref="C26:D26"/>
    <mergeCell ref="E26:F26"/>
    <mergeCell ref="G26:H26"/>
    <mergeCell ref="I26:J26"/>
    <mergeCell ref="K26:L26"/>
    <mergeCell ref="M26:N26"/>
    <mergeCell ref="A26:B26"/>
    <mergeCell ref="C27:D27"/>
    <mergeCell ref="E27:F27"/>
    <mergeCell ref="G27:H27"/>
    <mergeCell ref="I27:J27"/>
    <mergeCell ref="K27:L27"/>
    <mergeCell ref="M27:N27"/>
    <mergeCell ref="A27:B27"/>
    <mergeCell ref="C24:D24"/>
    <mergeCell ref="E24:F24"/>
    <mergeCell ref="G24:H24"/>
    <mergeCell ref="I24:J24"/>
    <mergeCell ref="K24:L24"/>
    <mergeCell ref="M24:N24"/>
    <mergeCell ref="A24:B24"/>
    <mergeCell ref="C25:D25"/>
    <mergeCell ref="E25:F25"/>
    <mergeCell ref="G25:H25"/>
    <mergeCell ref="I25:J25"/>
    <mergeCell ref="K25:L25"/>
    <mergeCell ref="M25:N25"/>
    <mergeCell ref="A25:B25"/>
    <mergeCell ref="C19:D19"/>
    <mergeCell ref="E19:F19"/>
    <mergeCell ref="G19:H19"/>
    <mergeCell ref="I19:J19"/>
    <mergeCell ref="K19:L19"/>
    <mergeCell ref="M19:N19"/>
    <mergeCell ref="A19:B19"/>
    <mergeCell ref="C20:D20"/>
    <mergeCell ref="E20:F20"/>
    <mergeCell ref="G20:H20"/>
    <mergeCell ref="I20:J20"/>
    <mergeCell ref="K20:L20"/>
    <mergeCell ref="M20:N20"/>
    <mergeCell ref="A20:B20"/>
    <mergeCell ref="C17:D17"/>
    <mergeCell ref="E17:F17"/>
    <mergeCell ref="G17:H17"/>
    <mergeCell ref="I17:J17"/>
    <mergeCell ref="K17:L17"/>
    <mergeCell ref="M17:N17"/>
    <mergeCell ref="A17:B17"/>
    <mergeCell ref="C18:D18"/>
    <mergeCell ref="E18:F18"/>
    <mergeCell ref="G18:H18"/>
    <mergeCell ref="I18:J18"/>
    <mergeCell ref="K18:L18"/>
    <mergeCell ref="M18:N18"/>
    <mergeCell ref="A18:B18"/>
    <mergeCell ref="C15:D15"/>
    <mergeCell ref="E15:F15"/>
    <mergeCell ref="G15:H15"/>
    <mergeCell ref="I15:J15"/>
    <mergeCell ref="K15:L15"/>
    <mergeCell ref="M15:N15"/>
    <mergeCell ref="A15:B15"/>
    <mergeCell ref="C16:D16"/>
    <mergeCell ref="E16:F16"/>
    <mergeCell ref="G16:H16"/>
    <mergeCell ref="I16:J16"/>
    <mergeCell ref="K16:L16"/>
    <mergeCell ref="M16:N16"/>
    <mergeCell ref="A16:B16"/>
    <mergeCell ref="C12:D12"/>
    <mergeCell ref="E12:F12"/>
    <mergeCell ref="G12:H12"/>
    <mergeCell ref="I12:J12"/>
    <mergeCell ref="K12:L12"/>
    <mergeCell ref="M12:N12"/>
    <mergeCell ref="A12:B12"/>
    <mergeCell ref="C13:D13"/>
    <mergeCell ref="E13:F13"/>
    <mergeCell ref="G13:H13"/>
    <mergeCell ref="I13:J13"/>
    <mergeCell ref="K13:L13"/>
    <mergeCell ref="M13:N13"/>
    <mergeCell ref="A13:B13"/>
    <mergeCell ref="C10:D10"/>
    <mergeCell ref="E10:F10"/>
    <mergeCell ref="G10:H10"/>
    <mergeCell ref="I10:J10"/>
    <mergeCell ref="K10:L10"/>
    <mergeCell ref="M10:N10"/>
    <mergeCell ref="A10:B10"/>
    <mergeCell ref="C11:D11"/>
    <mergeCell ref="E11:F11"/>
    <mergeCell ref="G11:H11"/>
    <mergeCell ref="I11:J11"/>
    <mergeCell ref="K11:L11"/>
    <mergeCell ref="M11:N11"/>
    <mergeCell ref="A11:B11"/>
  </mergeCells>
  <printOptions horizontalCentered="1" gridLines="1"/>
  <pageMargins left="0.25" right="0.25" top="0.5" bottom="0.5" header="0" footer="0"/>
  <pageSetup pageOrder="overThenDown" orientation="landscape" cellComments="atEnd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  <pageSetUpPr fitToPage="1"/>
  </sheetPr>
  <dimension ref="A1:N53"/>
  <sheetViews>
    <sheetView showGridLines="0" topLeftCell="A2" workbookViewId="0"/>
  </sheetViews>
  <sheetFormatPr defaultColWidth="12.5703125" defaultRowHeight="12.75" customHeight="1"/>
  <cols>
    <col min="1" max="1" width="3.85546875" customWidth="1"/>
    <col min="2" max="2" width="13.42578125" customWidth="1"/>
    <col min="3" max="3" width="3.85546875" customWidth="1"/>
    <col min="4" max="4" width="13.42578125" customWidth="1"/>
    <col min="5" max="5" width="3.85546875" customWidth="1"/>
    <col min="6" max="6" width="13.42578125" customWidth="1"/>
    <col min="7" max="7" width="3.85546875" customWidth="1"/>
    <col min="8" max="8" width="13.42578125" customWidth="1"/>
    <col min="9" max="9" width="3.85546875" customWidth="1"/>
    <col min="10" max="10" width="13.42578125" customWidth="1"/>
    <col min="11" max="11" width="3.85546875" customWidth="1"/>
    <col min="12" max="12" width="13.42578125" customWidth="1"/>
    <col min="13" max="13" width="3.85546875" customWidth="1"/>
    <col min="14" max="14" width="13.42578125" customWidth="1"/>
  </cols>
  <sheetData>
    <row r="1" spans="1:14" ht="12.6" hidden="1">
      <c r="A1" s="36">
        <f>EDATE('©'!A17,18)</f>
        <v>45658</v>
      </c>
      <c r="B1" s="37"/>
      <c r="C1" s="1"/>
      <c r="D1" s="1"/>
      <c r="E1" s="1"/>
      <c r="F1" s="1"/>
      <c r="G1" s="1"/>
      <c r="H1" s="1"/>
      <c r="I1" s="1"/>
      <c r="J1" s="1"/>
      <c r="K1" s="38" t="s">
        <v>0</v>
      </c>
      <c r="L1" s="37"/>
      <c r="M1" s="37"/>
      <c r="N1" s="37"/>
    </row>
    <row r="2" spans="1:14" ht="18" customHeight="1">
      <c r="A2" s="39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1:14" ht="18" customHeight="1">
      <c r="A3" s="29" t="s">
        <v>2</v>
      </c>
      <c r="B3" s="37"/>
      <c r="C3" s="27" t="s">
        <v>3</v>
      </c>
      <c r="D3" s="37"/>
      <c r="E3" s="19" t="s">
        <v>4</v>
      </c>
      <c r="F3" s="37"/>
      <c r="G3" s="21" t="s">
        <v>5</v>
      </c>
      <c r="H3" s="37"/>
      <c r="I3" s="56" t="s">
        <v>6</v>
      </c>
      <c r="J3" s="37"/>
      <c r="K3" s="23" t="s">
        <v>7</v>
      </c>
      <c r="L3" s="37"/>
      <c r="M3" s="25" t="s">
        <v>8</v>
      </c>
      <c r="N3" s="37"/>
    </row>
    <row r="4" spans="1:14" ht="60.75" customHeight="1">
      <c r="A4" s="42" t="str">
        <f>UPPER(TEXT(A1,"mmmm yyyy"))</f>
        <v>JANUARY 2025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</row>
    <row r="5" spans="1:14" ht="15" customHeight="1">
      <c r="A5" s="40">
        <f>A14</f>
        <v>45663</v>
      </c>
      <c r="B5" s="41"/>
      <c r="C5" s="40">
        <f>C14</f>
        <v>45664</v>
      </c>
      <c r="D5" s="41"/>
      <c r="E5" s="40">
        <f>E14</f>
        <v>45665</v>
      </c>
      <c r="F5" s="41"/>
      <c r="G5" s="40">
        <f>G14</f>
        <v>45666</v>
      </c>
      <c r="H5" s="41"/>
      <c r="I5" s="40">
        <f>I14</f>
        <v>45667</v>
      </c>
      <c r="J5" s="41"/>
      <c r="K5" s="40">
        <f>K14</f>
        <v>45668</v>
      </c>
      <c r="L5" s="41"/>
      <c r="M5" s="40">
        <f>M14</f>
        <v>45669</v>
      </c>
      <c r="N5" s="41"/>
    </row>
    <row r="6" spans="1:14" ht="18" customHeight="1">
      <c r="A6" s="2" t="str">
        <f>IF(WEEKDAY($A$1,1)=startday,$A$1,"")</f>
        <v/>
      </c>
      <c r="B6" s="3"/>
      <c r="C6" s="2" t="str">
        <f>IF(A6="",IF(WEEKDAY($A$1,1)=MOD(startday,7)+1,$A$1,""),A6+1)</f>
        <v/>
      </c>
      <c r="D6" s="3"/>
      <c r="E6" s="2">
        <f>IF(C6="",IF(WEEKDAY($A$1,1)=MOD(startday,7)+2,$A$1,""),C6+1)</f>
        <v>45658</v>
      </c>
      <c r="F6" s="3"/>
      <c r="G6" s="2">
        <f>IF(E6="",IF(WEEKDAY($A$1,1)=MOD(startday,7)+3,$A$1,""),E6+1)</f>
        <v>45659</v>
      </c>
      <c r="H6" s="3"/>
      <c r="I6" s="2">
        <f>IF(G6="",IF(WEEKDAY($A$1,1)=MOD(startday,7)+4,$A$1,""),G6+1)</f>
        <v>45660</v>
      </c>
      <c r="J6" s="3"/>
      <c r="K6" s="4">
        <f>IF(I6="",IF(WEEKDAY($A$1,1)=MOD(startday,7)+5,$A$1,""),I6+1)</f>
        <v>45661</v>
      </c>
      <c r="L6" s="5"/>
      <c r="M6" s="4">
        <f>IF(K6="",IF(WEEKDAY($A$1,1)=MOD(startday+5,7)+1,$A$1,""),K6+1)</f>
        <v>45662</v>
      </c>
      <c r="N6" s="5"/>
    </row>
    <row r="7" spans="1:14" ht="14.1">
      <c r="A7" s="29"/>
      <c r="B7" s="20"/>
      <c r="C7" s="44"/>
      <c r="D7" s="20"/>
      <c r="E7" s="29"/>
      <c r="F7" s="20"/>
      <c r="G7" s="44"/>
      <c r="H7" s="20"/>
      <c r="I7" s="44"/>
      <c r="J7" s="20"/>
      <c r="K7" s="44" t="s">
        <v>150</v>
      </c>
      <c r="L7" s="20"/>
      <c r="M7" s="44" t="s">
        <v>150</v>
      </c>
      <c r="N7" s="20"/>
    </row>
    <row r="8" spans="1:14" ht="14.1">
      <c r="A8" s="27"/>
      <c r="B8" s="20"/>
      <c r="C8" s="26"/>
      <c r="D8" s="20"/>
      <c r="E8" s="27"/>
      <c r="F8" s="20"/>
      <c r="G8" s="26"/>
      <c r="H8" s="20"/>
      <c r="I8" s="26"/>
      <c r="J8" s="20"/>
      <c r="K8" s="26" t="s">
        <v>54</v>
      </c>
      <c r="L8" s="20"/>
      <c r="M8" s="26" t="s">
        <v>54</v>
      </c>
      <c r="N8" s="20"/>
    </row>
    <row r="9" spans="1:14" ht="14.1">
      <c r="A9" s="19"/>
      <c r="B9" s="20"/>
      <c r="C9" s="35"/>
      <c r="D9" s="20"/>
      <c r="E9" s="19"/>
      <c r="F9" s="20"/>
      <c r="G9" s="35"/>
      <c r="H9" s="20"/>
      <c r="I9" s="35"/>
      <c r="J9" s="20"/>
      <c r="K9" s="35" t="s">
        <v>76</v>
      </c>
      <c r="L9" s="20"/>
      <c r="M9" s="35" t="s">
        <v>76</v>
      </c>
      <c r="N9" s="20"/>
    </row>
    <row r="10" spans="1:14" ht="14.1">
      <c r="A10" s="21"/>
      <c r="B10" s="20"/>
      <c r="C10" s="30"/>
      <c r="D10" s="20"/>
      <c r="E10" s="21"/>
      <c r="F10" s="20"/>
      <c r="G10" s="30"/>
      <c r="H10" s="20"/>
      <c r="I10" s="30"/>
      <c r="J10" s="20"/>
      <c r="K10" s="30" t="s">
        <v>89</v>
      </c>
      <c r="L10" s="20"/>
      <c r="M10" s="30" t="s">
        <v>89</v>
      </c>
      <c r="N10" s="20"/>
    </row>
    <row r="11" spans="1:14" ht="14.1">
      <c r="A11" s="56"/>
      <c r="B11" s="20"/>
      <c r="C11" s="57"/>
      <c r="D11" s="20"/>
      <c r="E11" s="56"/>
      <c r="F11" s="20"/>
      <c r="G11" s="57"/>
      <c r="H11" s="20"/>
      <c r="I11" s="57"/>
      <c r="J11" s="20"/>
      <c r="K11" s="57" t="s">
        <v>16</v>
      </c>
      <c r="L11" s="20"/>
      <c r="M11" s="57" t="s">
        <v>16</v>
      </c>
      <c r="N11" s="20"/>
    </row>
    <row r="12" spans="1:14" ht="14.1">
      <c r="A12" s="23"/>
      <c r="B12" s="20"/>
      <c r="C12" s="22"/>
      <c r="D12" s="20"/>
      <c r="E12" s="23"/>
      <c r="F12" s="20"/>
      <c r="G12" s="22"/>
      <c r="H12" s="20"/>
      <c r="I12" s="22"/>
      <c r="J12" s="20"/>
      <c r="K12" s="22" t="s">
        <v>71</v>
      </c>
      <c r="L12" s="20"/>
      <c r="M12" s="22" t="s">
        <v>26</v>
      </c>
      <c r="N12" s="20"/>
    </row>
    <row r="13" spans="1:14" ht="18" customHeight="1">
      <c r="A13" s="25"/>
      <c r="B13" s="20"/>
      <c r="C13" s="31"/>
      <c r="D13" s="24"/>
      <c r="E13" s="25"/>
      <c r="F13" s="20"/>
      <c r="G13" s="31"/>
      <c r="H13" s="24"/>
      <c r="I13" s="31"/>
      <c r="J13" s="24"/>
      <c r="K13" s="31" t="s">
        <v>151</v>
      </c>
      <c r="L13" s="24"/>
      <c r="M13" s="31" t="s">
        <v>152</v>
      </c>
      <c r="N13" s="24"/>
    </row>
    <row r="14" spans="1:14" ht="18" customHeight="1">
      <c r="A14" s="2">
        <f>M6+1</f>
        <v>45663</v>
      </c>
      <c r="B14" s="3"/>
      <c r="C14" s="2">
        <f>A14+1</f>
        <v>45664</v>
      </c>
      <c r="D14" s="3"/>
      <c r="E14" s="2">
        <f>C14+1</f>
        <v>45665</v>
      </c>
      <c r="F14" s="3"/>
      <c r="G14" s="2">
        <f>E14+1</f>
        <v>45666</v>
      </c>
      <c r="H14" s="3"/>
      <c r="I14" s="2">
        <f>G14+1</f>
        <v>45667</v>
      </c>
      <c r="J14" s="3"/>
      <c r="K14" s="4">
        <f>I14+1</f>
        <v>45668</v>
      </c>
      <c r="L14" s="5"/>
      <c r="M14" s="4">
        <f>K14+1</f>
        <v>45669</v>
      </c>
      <c r="N14" s="5"/>
    </row>
    <row r="15" spans="1:14" ht="14.1">
      <c r="A15" s="29" t="s">
        <v>135</v>
      </c>
      <c r="B15" s="20"/>
      <c r="C15" s="29" t="s">
        <v>105</v>
      </c>
      <c r="D15" s="20"/>
      <c r="E15" s="29" t="s">
        <v>135</v>
      </c>
      <c r="F15" s="20"/>
      <c r="G15" s="29" t="s">
        <v>9</v>
      </c>
      <c r="H15" s="20"/>
      <c r="I15" s="44" t="s">
        <v>92</v>
      </c>
      <c r="J15" s="20"/>
      <c r="K15" s="44" t="s">
        <v>9</v>
      </c>
      <c r="L15" s="20"/>
      <c r="M15" s="44" t="s">
        <v>9</v>
      </c>
      <c r="N15" s="20"/>
    </row>
    <row r="16" spans="1:14" ht="14.1">
      <c r="A16" s="27" t="s">
        <v>54</v>
      </c>
      <c r="B16" s="20"/>
      <c r="C16" s="27" t="s">
        <v>54</v>
      </c>
      <c r="D16" s="20"/>
      <c r="E16" s="27" t="s">
        <v>54</v>
      </c>
      <c r="F16" s="20"/>
      <c r="G16" s="27" t="s">
        <v>54</v>
      </c>
      <c r="H16" s="20"/>
      <c r="I16" s="26" t="s">
        <v>42</v>
      </c>
      <c r="J16" s="20"/>
      <c r="K16" s="26" t="s">
        <v>42</v>
      </c>
      <c r="L16" s="20"/>
      <c r="M16" s="26" t="s">
        <v>42</v>
      </c>
      <c r="N16" s="20"/>
    </row>
    <row r="17" spans="1:14" ht="14.1">
      <c r="A17" s="19" t="s">
        <v>59</v>
      </c>
      <c r="B17" s="20"/>
      <c r="C17" s="19" t="s">
        <v>59</v>
      </c>
      <c r="D17" s="20"/>
      <c r="E17" s="19" t="s">
        <v>59</v>
      </c>
      <c r="F17" s="20"/>
      <c r="G17" s="19" t="s">
        <v>59</v>
      </c>
      <c r="H17" s="20"/>
      <c r="I17" s="19" t="s">
        <v>59</v>
      </c>
      <c r="J17" s="20"/>
      <c r="K17" s="19" t="s">
        <v>11</v>
      </c>
      <c r="L17" s="20"/>
      <c r="M17" s="19" t="s">
        <v>11</v>
      </c>
      <c r="N17" s="20"/>
    </row>
    <row r="18" spans="1:14" ht="14.1">
      <c r="A18" s="21" t="s">
        <v>24</v>
      </c>
      <c r="B18" s="20"/>
      <c r="C18" s="21" t="s">
        <v>24</v>
      </c>
      <c r="D18" s="20"/>
      <c r="E18" s="21" t="s">
        <v>24</v>
      </c>
      <c r="F18" s="20"/>
      <c r="G18" s="21" t="s">
        <v>24</v>
      </c>
      <c r="H18" s="20"/>
      <c r="I18" s="21" t="s">
        <v>24</v>
      </c>
      <c r="J18" s="20"/>
      <c r="K18" s="21" t="s">
        <v>24</v>
      </c>
      <c r="L18" s="20"/>
      <c r="M18" s="21" t="s">
        <v>24</v>
      </c>
      <c r="N18" s="20"/>
    </row>
    <row r="19" spans="1:14" ht="14.1">
      <c r="A19" s="56" t="s">
        <v>25</v>
      </c>
      <c r="B19" s="20"/>
      <c r="C19" s="56" t="s">
        <v>25</v>
      </c>
      <c r="D19" s="20"/>
      <c r="E19" s="56" t="s">
        <v>25</v>
      </c>
      <c r="F19" s="20"/>
      <c r="G19" s="56" t="s">
        <v>25</v>
      </c>
      <c r="H19" s="20"/>
      <c r="I19" s="56" t="s">
        <v>25</v>
      </c>
      <c r="J19" s="20"/>
      <c r="K19" s="56" t="s">
        <v>25</v>
      </c>
      <c r="L19" s="20"/>
      <c r="M19" s="56" t="s">
        <v>25</v>
      </c>
      <c r="N19" s="20"/>
    </row>
    <row r="20" spans="1:14" ht="14.1">
      <c r="A20" s="23" t="s">
        <v>27</v>
      </c>
      <c r="B20" s="20"/>
      <c r="C20" s="22" t="s">
        <v>27</v>
      </c>
      <c r="D20" s="20"/>
      <c r="E20" s="23" t="s">
        <v>28</v>
      </c>
      <c r="F20" s="20"/>
      <c r="G20" s="22" t="s">
        <v>26</v>
      </c>
      <c r="H20" s="20"/>
      <c r="I20" s="22" t="s">
        <v>27</v>
      </c>
      <c r="J20" s="20"/>
      <c r="K20" s="22" t="s">
        <v>153</v>
      </c>
      <c r="L20" s="20"/>
      <c r="M20" s="22" t="s">
        <v>153</v>
      </c>
      <c r="N20" s="20"/>
    </row>
    <row r="21" spans="1:14" ht="18" customHeight="1">
      <c r="A21" s="25" t="s">
        <v>50</v>
      </c>
      <c r="B21" s="20"/>
      <c r="C21" s="25" t="s">
        <v>128</v>
      </c>
      <c r="D21" s="20"/>
      <c r="E21" s="25" t="s">
        <v>128</v>
      </c>
      <c r="F21" s="20"/>
      <c r="G21" s="25" t="s">
        <v>154</v>
      </c>
      <c r="H21" s="20"/>
      <c r="I21" s="25" t="s">
        <v>50</v>
      </c>
      <c r="J21" s="20"/>
      <c r="K21" s="25" t="s">
        <v>50</v>
      </c>
      <c r="L21" s="20"/>
      <c r="M21" s="25" t="s">
        <v>50</v>
      </c>
      <c r="N21" s="20"/>
    </row>
    <row r="22" spans="1:14" ht="18" customHeight="1">
      <c r="A22" s="2">
        <f>M14+1</f>
        <v>45670</v>
      </c>
      <c r="B22" s="3"/>
      <c r="C22" s="2">
        <f>A22+1</f>
        <v>45671</v>
      </c>
      <c r="D22" s="3"/>
      <c r="E22" s="2">
        <f>C22+1</f>
        <v>45672</v>
      </c>
      <c r="F22" s="3"/>
      <c r="G22" s="2">
        <f>E22+1</f>
        <v>45673</v>
      </c>
      <c r="H22" s="3"/>
      <c r="I22" s="2">
        <f>G22+1</f>
        <v>45674</v>
      </c>
      <c r="J22" s="3"/>
      <c r="K22" s="4">
        <f>I22+1</f>
        <v>45675</v>
      </c>
      <c r="L22" s="5"/>
      <c r="M22" s="4">
        <f>K22+1</f>
        <v>45676</v>
      </c>
      <c r="N22" s="5"/>
    </row>
    <row r="23" spans="1:14" ht="14.1">
      <c r="A23" s="29" t="s">
        <v>53</v>
      </c>
      <c r="B23" s="20"/>
      <c r="C23" s="29" t="s">
        <v>9</v>
      </c>
      <c r="D23" s="20"/>
      <c r="E23" s="29" t="s">
        <v>53</v>
      </c>
      <c r="F23" s="20"/>
      <c r="G23" s="29" t="s">
        <v>9</v>
      </c>
      <c r="H23" s="20"/>
      <c r="I23" s="44" t="s">
        <v>50</v>
      </c>
      <c r="J23" s="20"/>
      <c r="K23" s="44" t="s">
        <v>50</v>
      </c>
      <c r="L23" s="20"/>
      <c r="M23" s="44" t="s">
        <v>52</v>
      </c>
      <c r="N23" s="20"/>
    </row>
    <row r="24" spans="1:14" ht="14.1">
      <c r="A24" s="27" t="s">
        <v>42</v>
      </c>
      <c r="B24" s="20"/>
      <c r="C24" s="27" t="s">
        <v>42</v>
      </c>
      <c r="D24" s="20"/>
      <c r="E24" s="27" t="s">
        <v>42</v>
      </c>
      <c r="F24" s="20"/>
      <c r="G24" s="27" t="s">
        <v>42</v>
      </c>
      <c r="H24" s="20"/>
      <c r="I24" s="26" t="s">
        <v>16</v>
      </c>
      <c r="J24" s="20"/>
      <c r="K24" s="26" t="s">
        <v>16</v>
      </c>
      <c r="L24" s="20"/>
      <c r="M24" s="26" t="s">
        <v>16</v>
      </c>
      <c r="N24" s="20"/>
    </row>
    <row r="25" spans="1:14" ht="14.1">
      <c r="A25" s="19" t="s">
        <v>11</v>
      </c>
      <c r="B25" s="20"/>
      <c r="C25" s="19" t="s">
        <v>11</v>
      </c>
      <c r="D25" s="20"/>
      <c r="E25" s="19" t="s">
        <v>11</v>
      </c>
      <c r="F25" s="20"/>
      <c r="G25" s="19" t="s">
        <v>11</v>
      </c>
      <c r="H25" s="20"/>
      <c r="I25" s="19" t="s">
        <v>11</v>
      </c>
      <c r="J25" s="20"/>
      <c r="K25" s="19" t="s">
        <v>40</v>
      </c>
      <c r="L25" s="20"/>
      <c r="M25" s="19" t="s">
        <v>40</v>
      </c>
      <c r="N25" s="20"/>
    </row>
    <row r="26" spans="1:14" ht="14.1">
      <c r="A26" s="21" t="s">
        <v>15</v>
      </c>
      <c r="B26" s="20"/>
      <c r="C26" s="21" t="s">
        <v>15</v>
      </c>
      <c r="D26" s="20"/>
      <c r="E26" s="21" t="s">
        <v>15</v>
      </c>
      <c r="F26" s="20"/>
      <c r="G26" s="21" t="s">
        <v>15</v>
      </c>
      <c r="H26" s="20"/>
      <c r="I26" s="21" t="s">
        <v>15</v>
      </c>
      <c r="J26" s="20"/>
      <c r="K26" s="21" t="s">
        <v>15</v>
      </c>
      <c r="L26" s="20"/>
      <c r="M26" s="21" t="s">
        <v>15</v>
      </c>
      <c r="N26" s="20"/>
    </row>
    <row r="27" spans="1:14" ht="14.1">
      <c r="A27" s="56" t="s">
        <v>43</v>
      </c>
      <c r="B27" s="20"/>
      <c r="C27" s="56" t="s">
        <v>43</v>
      </c>
      <c r="D27" s="20"/>
      <c r="E27" s="56" t="s">
        <v>43</v>
      </c>
      <c r="F27" s="20"/>
      <c r="G27" s="56" t="s">
        <v>43</v>
      </c>
      <c r="H27" s="20"/>
      <c r="I27" s="57" t="s">
        <v>43</v>
      </c>
      <c r="J27" s="20"/>
      <c r="K27" s="57" t="s">
        <v>43</v>
      </c>
      <c r="L27" s="20"/>
      <c r="M27" s="57" t="s">
        <v>43</v>
      </c>
      <c r="N27" s="20"/>
    </row>
    <row r="28" spans="1:14" ht="14.1">
      <c r="A28" s="23" t="s">
        <v>17</v>
      </c>
      <c r="B28" s="20"/>
      <c r="C28" s="22" t="s">
        <v>17</v>
      </c>
      <c r="D28" s="20"/>
      <c r="E28" s="23" t="s">
        <v>28</v>
      </c>
      <c r="F28" s="20"/>
      <c r="G28" s="22" t="s">
        <v>17</v>
      </c>
      <c r="H28" s="20"/>
      <c r="I28" s="22" t="s">
        <v>17</v>
      </c>
      <c r="J28" s="20"/>
      <c r="K28" s="22" t="s">
        <v>17</v>
      </c>
      <c r="L28" s="20"/>
      <c r="M28" s="22" t="s">
        <v>17</v>
      </c>
      <c r="N28" s="20"/>
    </row>
    <row r="29" spans="1:14" ht="18" customHeight="1">
      <c r="A29" s="25" t="s">
        <v>155</v>
      </c>
      <c r="B29" s="20"/>
      <c r="C29" s="25" t="s">
        <v>29</v>
      </c>
      <c r="D29" s="20"/>
      <c r="E29" s="25" t="s">
        <v>30</v>
      </c>
      <c r="F29" s="20"/>
      <c r="G29" s="25" t="s">
        <v>29</v>
      </c>
      <c r="H29" s="20"/>
      <c r="I29" s="25" t="s">
        <v>156</v>
      </c>
      <c r="J29" s="20"/>
      <c r="K29" s="25" t="s">
        <v>156</v>
      </c>
      <c r="L29" s="20"/>
      <c r="M29" s="25" t="s">
        <v>156</v>
      </c>
      <c r="N29" s="20"/>
    </row>
    <row r="30" spans="1:14" ht="18" customHeight="1">
      <c r="A30" s="2">
        <f>M22+1</f>
        <v>45677</v>
      </c>
      <c r="B30" s="3"/>
      <c r="C30" s="2">
        <f>A30+1</f>
        <v>45678</v>
      </c>
      <c r="D30" s="3"/>
      <c r="E30" s="2">
        <f>C30+1</f>
        <v>45679</v>
      </c>
      <c r="F30" s="3"/>
      <c r="G30" s="2">
        <f>E30+1</f>
        <v>45680</v>
      </c>
      <c r="H30" s="3"/>
      <c r="I30" s="2">
        <f>G30+1</f>
        <v>45681</v>
      </c>
      <c r="J30" s="3"/>
      <c r="K30" s="4">
        <f>I30+1</f>
        <v>45682</v>
      </c>
      <c r="L30" s="5"/>
      <c r="M30" s="4">
        <f>K30+1</f>
        <v>45683</v>
      </c>
      <c r="N30" s="5"/>
    </row>
    <row r="31" spans="1:14" ht="14.1">
      <c r="A31" s="29" t="s">
        <v>157</v>
      </c>
      <c r="B31" s="20"/>
      <c r="C31" s="29" t="s">
        <v>50</v>
      </c>
      <c r="D31" s="20"/>
      <c r="E31" s="29" t="s">
        <v>157</v>
      </c>
      <c r="F31" s="20"/>
      <c r="G31" s="29" t="s">
        <v>50</v>
      </c>
      <c r="H31" s="20"/>
      <c r="I31" s="44" t="s">
        <v>85</v>
      </c>
      <c r="J31" s="20"/>
      <c r="K31" s="44" t="s">
        <v>24</v>
      </c>
      <c r="L31" s="20"/>
      <c r="M31" s="44" t="s">
        <v>24</v>
      </c>
      <c r="N31" s="20"/>
    </row>
    <row r="32" spans="1:14" ht="14.1">
      <c r="A32" s="27" t="s">
        <v>16</v>
      </c>
      <c r="B32" s="20"/>
      <c r="C32" s="27" t="s">
        <v>16</v>
      </c>
      <c r="D32" s="20"/>
      <c r="E32" s="27" t="s">
        <v>16</v>
      </c>
      <c r="F32" s="20"/>
      <c r="G32" s="27" t="s">
        <v>16</v>
      </c>
      <c r="H32" s="20"/>
      <c r="I32" s="26" t="s">
        <v>51</v>
      </c>
      <c r="J32" s="20"/>
      <c r="K32" s="26" t="s">
        <v>51</v>
      </c>
      <c r="L32" s="20"/>
      <c r="M32" s="26" t="s">
        <v>51</v>
      </c>
      <c r="N32" s="20"/>
    </row>
    <row r="33" spans="1:14" ht="14.1">
      <c r="A33" s="19" t="s">
        <v>158</v>
      </c>
      <c r="B33" s="20"/>
      <c r="C33" s="19" t="s">
        <v>9</v>
      </c>
      <c r="D33" s="20"/>
      <c r="E33" s="19" t="s">
        <v>9</v>
      </c>
      <c r="F33" s="20"/>
      <c r="G33" s="19" t="s">
        <v>9</v>
      </c>
      <c r="H33" s="20"/>
      <c r="I33" s="19" t="s">
        <v>9</v>
      </c>
      <c r="J33" s="20"/>
      <c r="K33" s="19" t="s">
        <v>9</v>
      </c>
      <c r="L33" s="20"/>
      <c r="M33" s="19" t="s">
        <v>9</v>
      </c>
      <c r="N33" s="20"/>
    </row>
    <row r="34" spans="1:14" ht="14.1">
      <c r="A34" s="21" t="s">
        <v>24</v>
      </c>
      <c r="B34" s="20"/>
      <c r="C34" s="21" t="s">
        <v>15</v>
      </c>
      <c r="D34" s="20"/>
      <c r="E34" s="21" t="s">
        <v>15</v>
      </c>
      <c r="F34" s="20"/>
      <c r="G34" s="30" t="s">
        <v>89</v>
      </c>
      <c r="H34" s="20"/>
      <c r="I34" s="30" t="s">
        <v>89</v>
      </c>
      <c r="J34" s="20"/>
      <c r="K34" s="30" t="s">
        <v>89</v>
      </c>
      <c r="L34" s="20"/>
      <c r="M34" s="30" t="s">
        <v>89</v>
      </c>
      <c r="N34" s="20"/>
    </row>
    <row r="35" spans="1:14" ht="14.1">
      <c r="A35" s="56" t="s">
        <v>25</v>
      </c>
      <c r="B35" s="20"/>
      <c r="C35" s="56" t="s">
        <v>25</v>
      </c>
      <c r="D35" s="20"/>
      <c r="E35" s="56" t="s">
        <v>25</v>
      </c>
      <c r="F35" s="20"/>
      <c r="G35" s="56" t="s">
        <v>25</v>
      </c>
      <c r="H35" s="20"/>
      <c r="I35" s="56" t="s">
        <v>16</v>
      </c>
      <c r="J35" s="20"/>
      <c r="K35" s="56" t="s">
        <v>16</v>
      </c>
      <c r="L35" s="20"/>
      <c r="M35" s="56" t="s">
        <v>16</v>
      </c>
      <c r="N35" s="20"/>
    </row>
    <row r="36" spans="1:14" ht="14.1">
      <c r="A36" s="23" t="s">
        <v>27</v>
      </c>
      <c r="B36" s="20"/>
      <c r="C36" s="23" t="s">
        <v>27</v>
      </c>
      <c r="D36" s="20"/>
      <c r="E36" s="23" t="s">
        <v>28</v>
      </c>
      <c r="F36" s="20"/>
      <c r="G36" s="22" t="s">
        <v>26</v>
      </c>
      <c r="H36" s="20"/>
      <c r="I36" s="22" t="s">
        <v>26</v>
      </c>
      <c r="J36" s="20"/>
      <c r="K36" s="22" t="s">
        <v>26</v>
      </c>
      <c r="L36" s="20"/>
      <c r="M36" s="22" t="s">
        <v>26</v>
      </c>
      <c r="N36" s="20"/>
    </row>
    <row r="37" spans="1:14" ht="18" customHeight="1">
      <c r="A37" s="25" t="s">
        <v>30</v>
      </c>
      <c r="B37" s="20"/>
      <c r="C37" s="25" t="s">
        <v>30</v>
      </c>
      <c r="D37" s="20"/>
      <c r="E37" s="25" t="s">
        <v>30</v>
      </c>
      <c r="F37" s="20"/>
      <c r="G37" s="25" t="s">
        <v>29</v>
      </c>
      <c r="H37" s="20"/>
      <c r="I37" s="25" t="s">
        <v>159</v>
      </c>
      <c r="J37" s="20"/>
      <c r="K37" s="25" t="s">
        <v>160</v>
      </c>
      <c r="L37" s="20"/>
      <c r="M37" s="25" t="s">
        <v>160</v>
      </c>
      <c r="N37" s="20"/>
    </row>
    <row r="38" spans="1:14" ht="18" customHeight="1">
      <c r="A38" s="2">
        <f>IF(M30="","",IF(MONTH(M30+1)&lt;&gt;MONTH($A$1),"",M30+1))</f>
        <v>45684</v>
      </c>
      <c r="B38" s="3"/>
      <c r="C38" s="2">
        <f>IF(A38="","",IF(MONTH(A38+1)&lt;&gt;MONTH($A$1),"",A38+1))</f>
        <v>45685</v>
      </c>
      <c r="D38" s="3"/>
      <c r="E38" s="2">
        <f>IF(C38="","",IF(MONTH(C38+1)&lt;&gt;MONTH($A$1),"",C38+1))</f>
        <v>45686</v>
      </c>
      <c r="F38" s="3"/>
      <c r="G38" s="2">
        <f>IF(E38="","",IF(MONTH(E38+1)&lt;&gt;MONTH($A$1),"",E38+1))</f>
        <v>45687</v>
      </c>
      <c r="H38" s="3"/>
      <c r="I38" s="2">
        <f>IF(G38="","",IF(MONTH(G38+1)&lt;&gt;MONTH($A$1),"",G38+1))</f>
        <v>45688</v>
      </c>
      <c r="J38" s="3"/>
      <c r="K38" s="4" t="str">
        <f>IF(I38="","",IF(MONTH(I38+1)&lt;&gt;MONTH($A$1),"",I38+1))</f>
        <v/>
      </c>
      <c r="L38" s="5"/>
      <c r="M38" s="4" t="str">
        <f>IF(K38="","",IF(MONTH(K38+1)&lt;&gt;MONTH($A$1),"",K38+1))</f>
        <v/>
      </c>
      <c r="N38" s="5"/>
    </row>
    <row r="39" spans="1:14" ht="14.1">
      <c r="A39" s="29" t="s">
        <v>24</v>
      </c>
      <c r="B39" s="20"/>
      <c r="C39" s="29" t="s">
        <v>24</v>
      </c>
      <c r="D39" s="20"/>
      <c r="E39" s="29" t="s">
        <v>24</v>
      </c>
      <c r="F39" s="20"/>
      <c r="G39" s="29" t="s">
        <v>24</v>
      </c>
      <c r="H39" s="20"/>
      <c r="I39" s="29" t="s">
        <v>24</v>
      </c>
      <c r="J39" s="20"/>
      <c r="K39" s="29" t="s">
        <v>24</v>
      </c>
      <c r="L39" s="20"/>
      <c r="M39" s="29" t="s">
        <v>24</v>
      </c>
      <c r="N39" s="20"/>
    </row>
    <row r="40" spans="1:14" ht="14.1">
      <c r="A40" s="27" t="s">
        <v>51</v>
      </c>
      <c r="B40" s="20"/>
      <c r="C40" s="27" t="s">
        <v>51</v>
      </c>
      <c r="D40" s="20"/>
      <c r="E40" s="27" t="s">
        <v>51</v>
      </c>
      <c r="F40" s="20"/>
      <c r="G40" s="27" t="s">
        <v>51</v>
      </c>
      <c r="H40" s="20"/>
      <c r="I40" s="26" t="s">
        <v>12</v>
      </c>
      <c r="J40" s="20"/>
      <c r="K40" s="26" t="s">
        <v>12</v>
      </c>
      <c r="L40" s="20"/>
      <c r="M40" s="26" t="s">
        <v>12</v>
      </c>
      <c r="N40" s="20"/>
    </row>
    <row r="41" spans="1:14" ht="14.1">
      <c r="A41" s="19" t="s">
        <v>59</v>
      </c>
      <c r="B41" s="20"/>
      <c r="C41" s="19" t="s">
        <v>9</v>
      </c>
      <c r="D41" s="20"/>
      <c r="E41" s="19" t="s">
        <v>9</v>
      </c>
      <c r="F41" s="20"/>
      <c r="G41" s="19" t="s">
        <v>9</v>
      </c>
      <c r="H41" s="20"/>
      <c r="I41" s="19" t="s">
        <v>9</v>
      </c>
      <c r="J41" s="20"/>
      <c r="K41" s="35" t="s">
        <v>40</v>
      </c>
      <c r="L41" s="20"/>
      <c r="M41" s="35" t="s">
        <v>40</v>
      </c>
      <c r="N41" s="20"/>
    </row>
    <row r="42" spans="1:14" ht="14.1">
      <c r="A42" s="21" t="s">
        <v>89</v>
      </c>
      <c r="B42" s="20"/>
      <c r="C42" s="21" t="s">
        <v>89</v>
      </c>
      <c r="D42" s="20"/>
      <c r="E42" s="21" t="s">
        <v>89</v>
      </c>
      <c r="F42" s="20"/>
      <c r="G42" s="21" t="s">
        <v>89</v>
      </c>
      <c r="H42" s="20"/>
      <c r="I42" s="30" t="s">
        <v>24</v>
      </c>
      <c r="J42" s="20"/>
      <c r="K42" s="30" t="s">
        <v>24</v>
      </c>
      <c r="L42" s="20"/>
      <c r="M42" s="30" t="s">
        <v>24</v>
      </c>
      <c r="N42" s="20"/>
    </row>
    <row r="43" spans="1:14" ht="14.1">
      <c r="A43" s="56" t="s">
        <v>16</v>
      </c>
      <c r="B43" s="20"/>
      <c r="C43" s="56" t="s">
        <v>16</v>
      </c>
      <c r="D43" s="20"/>
      <c r="E43" s="56" t="s">
        <v>16</v>
      </c>
      <c r="F43" s="20"/>
      <c r="G43" s="56" t="s">
        <v>16</v>
      </c>
      <c r="H43" s="20"/>
      <c r="I43" s="56" t="s">
        <v>16</v>
      </c>
      <c r="J43" s="20"/>
      <c r="K43" s="56" t="s">
        <v>16</v>
      </c>
      <c r="L43" s="20"/>
      <c r="M43" s="56" t="s">
        <v>16</v>
      </c>
      <c r="N43" s="20"/>
    </row>
    <row r="44" spans="1:14" ht="14.1">
      <c r="A44" s="23" t="s">
        <v>161</v>
      </c>
      <c r="B44" s="20"/>
      <c r="C44" s="22" t="s">
        <v>26</v>
      </c>
      <c r="D44" s="20"/>
      <c r="E44" s="23" t="s">
        <v>162</v>
      </c>
      <c r="F44" s="20"/>
      <c r="G44" s="22" t="s">
        <v>17</v>
      </c>
      <c r="H44" s="20"/>
      <c r="I44" s="22" t="s">
        <v>162</v>
      </c>
      <c r="J44" s="20"/>
      <c r="K44" s="22" t="s">
        <v>162</v>
      </c>
      <c r="L44" s="20"/>
      <c r="M44" s="22" t="s">
        <v>162</v>
      </c>
      <c r="N44" s="20"/>
    </row>
    <row r="45" spans="1:14" ht="18" customHeight="1">
      <c r="A45" s="25" t="s">
        <v>50</v>
      </c>
      <c r="B45" s="20"/>
      <c r="C45" s="25" t="s">
        <v>163</v>
      </c>
      <c r="D45" s="20"/>
      <c r="E45" s="25" t="s">
        <v>163</v>
      </c>
      <c r="F45" s="20"/>
      <c r="G45" s="25" t="s">
        <v>63</v>
      </c>
      <c r="H45" s="20"/>
      <c r="I45" s="25" t="s">
        <v>50</v>
      </c>
      <c r="J45" s="20"/>
      <c r="K45" s="25" t="s">
        <v>50</v>
      </c>
      <c r="L45" s="20"/>
      <c r="M45" s="25" t="s">
        <v>50</v>
      </c>
      <c r="N45" s="20"/>
    </row>
    <row r="46" spans="1:14" ht="18" customHeight="1">
      <c r="A46" s="2" t="str">
        <f>IF(M38="","",IF(MONTH(M38+1)&lt;&gt;MONTH($A$1),"",M38+1))</f>
        <v/>
      </c>
      <c r="B46" s="3"/>
      <c r="C46" s="2" t="str">
        <f>IF(A46="","",IF(MONTH(A46+1)&lt;&gt;MONTH($A$1),"",A46+1))</f>
        <v/>
      </c>
      <c r="D46" s="3"/>
      <c r="E46" s="46" t="s">
        <v>22</v>
      </c>
      <c r="F46" s="47"/>
      <c r="G46" s="48"/>
      <c r="H46" s="47"/>
      <c r="I46" s="47"/>
      <c r="J46" s="47"/>
      <c r="K46" s="47"/>
      <c r="L46" s="47"/>
      <c r="M46" s="47"/>
      <c r="N46" s="49"/>
    </row>
    <row r="47" spans="1:14" ht="14.1">
      <c r="A47" s="29" t="s">
        <v>24</v>
      </c>
      <c r="B47" s="20"/>
      <c r="C47" s="44"/>
      <c r="D47" s="20"/>
      <c r="E47" s="45" t="s">
        <v>164</v>
      </c>
      <c r="F47" s="37"/>
      <c r="G47" s="37"/>
      <c r="H47" s="37"/>
      <c r="I47" s="37"/>
      <c r="J47" s="37"/>
      <c r="K47" s="37"/>
      <c r="L47" s="37"/>
      <c r="M47" s="37"/>
      <c r="N47" s="20"/>
    </row>
    <row r="48" spans="1:14" ht="14.1">
      <c r="A48" s="27" t="s">
        <v>12</v>
      </c>
      <c r="B48" s="20"/>
      <c r="C48" s="26"/>
      <c r="D48" s="20"/>
      <c r="E48" s="45" t="s">
        <v>165</v>
      </c>
      <c r="F48" s="37"/>
      <c r="G48" s="37"/>
      <c r="H48" s="37"/>
      <c r="I48" s="37"/>
      <c r="J48" s="37"/>
      <c r="K48" s="37"/>
      <c r="L48" s="37"/>
      <c r="M48" s="37"/>
      <c r="N48" s="20"/>
    </row>
    <row r="49" spans="1:14" ht="14.1">
      <c r="A49" s="19" t="s">
        <v>9</v>
      </c>
      <c r="B49" s="20"/>
      <c r="C49" s="35"/>
      <c r="D49" s="20"/>
      <c r="E49" s="45"/>
      <c r="F49" s="37"/>
      <c r="G49" s="37"/>
      <c r="H49" s="37"/>
      <c r="I49" s="37"/>
      <c r="J49" s="37"/>
      <c r="K49" s="37"/>
      <c r="L49" s="37"/>
      <c r="M49" s="37"/>
      <c r="N49" s="20"/>
    </row>
    <row r="50" spans="1:14" ht="14.1">
      <c r="A50" s="21" t="s">
        <v>24</v>
      </c>
      <c r="B50" s="20"/>
      <c r="C50" s="30"/>
      <c r="D50" s="20"/>
      <c r="E50" s="6"/>
      <c r="F50" s="7"/>
      <c r="G50" s="7"/>
      <c r="H50" s="7"/>
      <c r="I50" s="7"/>
      <c r="J50" s="7"/>
      <c r="K50" s="7"/>
      <c r="L50" s="7"/>
      <c r="M50" s="7"/>
      <c r="N50" s="8"/>
    </row>
    <row r="51" spans="1:14" ht="14.1">
      <c r="A51" s="56" t="s">
        <v>13</v>
      </c>
      <c r="B51" s="20"/>
      <c r="C51" s="57"/>
      <c r="D51" s="20"/>
      <c r="E51" s="6"/>
      <c r="F51" s="7"/>
      <c r="G51" s="7"/>
      <c r="H51" s="7"/>
      <c r="I51" s="7"/>
      <c r="J51" s="7"/>
      <c r="K51" s="7"/>
      <c r="L51" s="7"/>
      <c r="M51" s="7"/>
      <c r="N51" s="8"/>
    </row>
    <row r="52" spans="1:14" ht="14.1">
      <c r="A52" s="22" t="s">
        <v>17</v>
      </c>
      <c r="B52" s="20"/>
      <c r="C52" s="22"/>
      <c r="D52" s="20"/>
      <c r="E52" s="6"/>
      <c r="F52" s="7"/>
      <c r="G52" s="7"/>
      <c r="H52" s="7"/>
      <c r="I52" s="7"/>
      <c r="J52" s="7"/>
      <c r="K52" s="7"/>
      <c r="L52" s="7"/>
      <c r="M52" s="7"/>
      <c r="N52" s="8"/>
    </row>
    <row r="53" spans="1:14" ht="14.1">
      <c r="A53" s="31" t="s">
        <v>63</v>
      </c>
      <c r="B53" s="24"/>
      <c r="C53" s="31"/>
      <c r="D53" s="24"/>
      <c r="E53" s="32" t="s">
        <v>23</v>
      </c>
      <c r="F53" s="33"/>
      <c r="G53" s="33"/>
      <c r="H53" s="33"/>
      <c r="I53" s="34" t="str">
        <f>HYPERLINK("https://www.vertex42.com/calendars/academic-calendar.html","https://www.vertex42.com/calendars/academic-calendar.html")</f>
        <v>https://www.vertex42.com/calendars/academic-calendar.html</v>
      </c>
      <c r="J53" s="33"/>
      <c r="K53" s="33"/>
      <c r="L53" s="33"/>
      <c r="M53" s="33"/>
      <c r="N53" s="24"/>
    </row>
  </sheetData>
  <mergeCells count="284">
    <mergeCell ref="A51:B51"/>
    <mergeCell ref="A52:B52"/>
    <mergeCell ref="C52:D52"/>
    <mergeCell ref="A53:B53"/>
    <mergeCell ref="C53:D53"/>
    <mergeCell ref="E53:H53"/>
    <mergeCell ref="I53:N53"/>
    <mergeCell ref="A48:B48"/>
    <mergeCell ref="A49:B49"/>
    <mergeCell ref="C49:D49"/>
    <mergeCell ref="E49:N49"/>
    <mergeCell ref="A50:B50"/>
    <mergeCell ref="C50:D50"/>
    <mergeCell ref="C51:D51"/>
    <mergeCell ref="A43:B43"/>
    <mergeCell ref="C43:D43"/>
    <mergeCell ref="E43:F43"/>
    <mergeCell ref="G43:H43"/>
    <mergeCell ref="I43:J43"/>
    <mergeCell ref="K43:L43"/>
    <mergeCell ref="M43:N43"/>
    <mergeCell ref="A44:B44"/>
    <mergeCell ref="C44:D44"/>
    <mergeCell ref="E44:F44"/>
    <mergeCell ref="G44:H44"/>
    <mergeCell ref="I44:J44"/>
    <mergeCell ref="K44:L44"/>
    <mergeCell ref="M44:N44"/>
    <mergeCell ref="K41:L41"/>
    <mergeCell ref="M41:N41"/>
    <mergeCell ref="A42:B42"/>
    <mergeCell ref="C42:D42"/>
    <mergeCell ref="E42:F42"/>
    <mergeCell ref="G42:H42"/>
    <mergeCell ref="I42:J42"/>
    <mergeCell ref="K42:L42"/>
    <mergeCell ref="M42:N42"/>
    <mergeCell ref="A47:B47"/>
    <mergeCell ref="C47:D47"/>
    <mergeCell ref="E47:N47"/>
    <mergeCell ref="C48:D48"/>
    <mergeCell ref="E48:N48"/>
    <mergeCell ref="A39:B39"/>
    <mergeCell ref="C39:D39"/>
    <mergeCell ref="E39:F39"/>
    <mergeCell ref="G39:H39"/>
    <mergeCell ref="I39:J39"/>
    <mergeCell ref="K39:L39"/>
    <mergeCell ref="M39:N39"/>
    <mergeCell ref="A40:B40"/>
    <mergeCell ref="C40:D40"/>
    <mergeCell ref="E40:F40"/>
    <mergeCell ref="G40:H40"/>
    <mergeCell ref="I40:J40"/>
    <mergeCell ref="K40:L40"/>
    <mergeCell ref="M40:N40"/>
    <mergeCell ref="A41:B41"/>
    <mergeCell ref="C41:D41"/>
    <mergeCell ref="E41:F41"/>
    <mergeCell ref="G41:H41"/>
    <mergeCell ref="I41:J41"/>
    <mergeCell ref="A45:B45"/>
    <mergeCell ref="C45:D45"/>
    <mergeCell ref="E45:F45"/>
    <mergeCell ref="G45:H45"/>
    <mergeCell ref="I45:J45"/>
    <mergeCell ref="K45:L45"/>
    <mergeCell ref="M45:N45"/>
    <mergeCell ref="E46:F46"/>
    <mergeCell ref="G46:N46"/>
    <mergeCell ref="A36:B36"/>
    <mergeCell ref="C36:D36"/>
    <mergeCell ref="E36:F36"/>
    <mergeCell ref="G36:H36"/>
    <mergeCell ref="I36:J36"/>
    <mergeCell ref="K36:L36"/>
    <mergeCell ref="M36:N36"/>
    <mergeCell ref="A37:B37"/>
    <mergeCell ref="C37:D37"/>
    <mergeCell ref="E37:F37"/>
    <mergeCell ref="G37:H37"/>
    <mergeCell ref="I37:J37"/>
    <mergeCell ref="K37:L37"/>
    <mergeCell ref="M37:N37"/>
    <mergeCell ref="A34:B34"/>
    <mergeCell ref="C34:D34"/>
    <mergeCell ref="E34:F34"/>
    <mergeCell ref="G34:H34"/>
    <mergeCell ref="I34:J34"/>
    <mergeCell ref="K34:L34"/>
    <mergeCell ref="M34:N34"/>
    <mergeCell ref="A35:B35"/>
    <mergeCell ref="C35:D35"/>
    <mergeCell ref="E35:F35"/>
    <mergeCell ref="G35:H35"/>
    <mergeCell ref="I35:J35"/>
    <mergeCell ref="K35:L35"/>
    <mergeCell ref="M35:N35"/>
    <mergeCell ref="A32:B32"/>
    <mergeCell ref="C32:D32"/>
    <mergeCell ref="E32:F32"/>
    <mergeCell ref="G32:H32"/>
    <mergeCell ref="I32:J32"/>
    <mergeCell ref="K32:L32"/>
    <mergeCell ref="M32:N32"/>
    <mergeCell ref="A33:B33"/>
    <mergeCell ref="C33:D33"/>
    <mergeCell ref="E33:F33"/>
    <mergeCell ref="G33:H33"/>
    <mergeCell ref="I33:J33"/>
    <mergeCell ref="K33:L33"/>
    <mergeCell ref="M33:N33"/>
    <mergeCell ref="A29:B29"/>
    <mergeCell ref="C29:D29"/>
    <mergeCell ref="E29:F29"/>
    <mergeCell ref="G29:H29"/>
    <mergeCell ref="I29:J29"/>
    <mergeCell ref="K29:L29"/>
    <mergeCell ref="M29:N29"/>
    <mergeCell ref="A31:B31"/>
    <mergeCell ref="C31:D31"/>
    <mergeCell ref="E31:F31"/>
    <mergeCell ref="G31:H31"/>
    <mergeCell ref="I31:J31"/>
    <mergeCell ref="K31:L31"/>
    <mergeCell ref="M31:N31"/>
    <mergeCell ref="A27:B27"/>
    <mergeCell ref="C27:D27"/>
    <mergeCell ref="E27:F27"/>
    <mergeCell ref="G27:H27"/>
    <mergeCell ref="I27:J27"/>
    <mergeCell ref="K27:L27"/>
    <mergeCell ref="M27:N27"/>
    <mergeCell ref="A28:B28"/>
    <mergeCell ref="C28:D28"/>
    <mergeCell ref="E28:F28"/>
    <mergeCell ref="G28:H28"/>
    <mergeCell ref="I28:J28"/>
    <mergeCell ref="K28:L28"/>
    <mergeCell ref="M28:N28"/>
    <mergeCell ref="A25:B25"/>
    <mergeCell ref="C25:D25"/>
    <mergeCell ref="E25:F25"/>
    <mergeCell ref="G25:H25"/>
    <mergeCell ref="I25:J25"/>
    <mergeCell ref="K25:L25"/>
    <mergeCell ref="M25:N25"/>
    <mergeCell ref="A26:B26"/>
    <mergeCell ref="C26:D26"/>
    <mergeCell ref="E26:F26"/>
    <mergeCell ref="G26:H26"/>
    <mergeCell ref="I26:J26"/>
    <mergeCell ref="K26:L26"/>
    <mergeCell ref="M26:N26"/>
    <mergeCell ref="A23:B23"/>
    <mergeCell ref="C23:D23"/>
    <mergeCell ref="E23:F23"/>
    <mergeCell ref="G23:H23"/>
    <mergeCell ref="I23:J23"/>
    <mergeCell ref="K23:L23"/>
    <mergeCell ref="M23:N23"/>
    <mergeCell ref="A24:B24"/>
    <mergeCell ref="C24:D24"/>
    <mergeCell ref="E24:F24"/>
    <mergeCell ref="G24:H24"/>
    <mergeCell ref="I24:J24"/>
    <mergeCell ref="K24:L24"/>
    <mergeCell ref="M24:N24"/>
    <mergeCell ref="A20:B20"/>
    <mergeCell ref="C20:D20"/>
    <mergeCell ref="E20:F20"/>
    <mergeCell ref="G20:H20"/>
    <mergeCell ref="I20:J20"/>
    <mergeCell ref="K20:L20"/>
    <mergeCell ref="M20:N20"/>
    <mergeCell ref="A21:B21"/>
    <mergeCell ref="C21:D21"/>
    <mergeCell ref="E21:F21"/>
    <mergeCell ref="G21:H21"/>
    <mergeCell ref="I21:J21"/>
    <mergeCell ref="K21:L21"/>
    <mergeCell ref="M21:N21"/>
    <mergeCell ref="A18:B18"/>
    <mergeCell ref="C18:D18"/>
    <mergeCell ref="E18:F18"/>
    <mergeCell ref="G18:H18"/>
    <mergeCell ref="I18:J18"/>
    <mergeCell ref="K18:L18"/>
    <mergeCell ref="M18:N18"/>
    <mergeCell ref="A19:B19"/>
    <mergeCell ref="C19:D19"/>
    <mergeCell ref="E19:F19"/>
    <mergeCell ref="G19:H19"/>
    <mergeCell ref="I19:J19"/>
    <mergeCell ref="K19:L19"/>
    <mergeCell ref="M19:N19"/>
    <mergeCell ref="A16:B16"/>
    <mergeCell ref="C16:D16"/>
    <mergeCell ref="E16:F16"/>
    <mergeCell ref="G16:H16"/>
    <mergeCell ref="I16:J16"/>
    <mergeCell ref="K16:L16"/>
    <mergeCell ref="M16:N16"/>
    <mergeCell ref="A17:B17"/>
    <mergeCell ref="C17:D17"/>
    <mergeCell ref="E17:F17"/>
    <mergeCell ref="G17:H17"/>
    <mergeCell ref="I17:J17"/>
    <mergeCell ref="K17:L17"/>
    <mergeCell ref="M17:N17"/>
    <mergeCell ref="A13:B13"/>
    <mergeCell ref="C13:D13"/>
    <mergeCell ref="E13:F13"/>
    <mergeCell ref="G13:H13"/>
    <mergeCell ref="I13:J13"/>
    <mergeCell ref="K13:L13"/>
    <mergeCell ref="M13:N13"/>
    <mergeCell ref="A15:B15"/>
    <mergeCell ref="C15:D15"/>
    <mergeCell ref="E15:F15"/>
    <mergeCell ref="G15:H15"/>
    <mergeCell ref="I15:J15"/>
    <mergeCell ref="K15:L15"/>
    <mergeCell ref="M15:N15"/>
    <mergeCell ref="K3:L3"/>
    <mergeCell ref="A7:B7"/>
    <mergeCell ref="C7:D7"/>
    <mergeCell ref="E7:F7"/>
    <mergeCell ref="G7:H7"/>
    <mergeCell ref="I7:J7"/>
    <mergeCell ref="K7:L7"/>
    <mergeCell ref="M7:N7"/>
    <mergeCell ref="A8:B8"/>
    <mergeCell ref="C8:D8"/>
    <mergeCell ref="E8:F8"/>
    <mergeCell ref="G8:H8"/>
    <mergeCell ref="I8:J8"/>
    <mergeCell ref="K8:L8"/>
    <mergeCell ref="M8:N8"/>
    <mergeCell ref="A1:B1"/>
    <mergeCell ref="K1:N1"/>
    <mergeCell ref="A2:N2"/>
    <mergeCell ref="A3:B3"/>
    <mergeCell ref="C3:D3"/>
    <mergeCell ref="E3:F3"/>
    <mergeCell ref="G3:H3"/>
    <mergeCell ref="A11:B11"/>
    <mergeCell ref="C11:D11"/>
    <mergeCell ref="E11:F11"/>
    <mergeCell ref="G11:H11"/>
    <mergeCell ref="I11:J11"/>
    <mergeCell ref="K11:L11"/>
    <mergeCell ref="M11:N11"/>
    <mergeCell ref="K5:L5"/>
    <mergeCell ref="M5:N5"/>
    <mergeCell ref="M3:N3"/>
    <mergeCell ref="A4:N4"/>
    <mergeCell ref="A5:B5"/>
    <mergeCell ref="C5:D5"/>
    <mergeCell ref="E5:F5"/>
    <mergeCell ref="G5:H5"/>
    <mergeCell ref="I5:J5"/>
    <mergeCell ref="I3:J3"/>
    <mergeCell ref="A12:B12"/>
    <mergeCell ref="C12:D12"/>
    <mergeCell ref="E12:F12"/>
    <mergeCell ref="G12:H12"/>
    <mergeCell ref="I12:J12"/>
    <mergeCell ref="K12:L12"/>
    <mergeCell ref="M12:N12"/>
    <mergeCell ref="A9:B9"/>
    <mergeCell ref="C9:D9"/>
    <mergeCell ref="E9:F9"/>
    <mergeCell ref="G9:H9"/>
    <mergeCell ref="I9:J9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</mergeCells>
  <printOptions horizontalCentered="1" gridLines="1"/>
  <pageMargins left="0.25" right="0.25" top="0.5" bottom="0.5" header="0" footer="0"/>
  <pageSetup pageOrder="overThenDown" orientation="landscape" cellComments="atEnd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  <pageSetUpPr fitToPage="1"/>
  </sheetPr>
  <dimension ref="A1:N58"/>
  <sheetViews>
    <sheetView showGridLines="0" topLeftCell="A6" workbookViewId="0">
      <selection activeCell="M25" sqref="M25:N25"/>
    </sheetView>
  </sheetViews>
  <sheetFormatPr defaultColWidth="12.5703125" defaultRowHeight="12.75" customHeight="1"/>
  <cols>
    <col min="1" max="1" width="3.85546875" customWidth="1"/>
    <col min="2" max="2" width="13.42578125" customWidth="1"/>
    <col min="3" max="3" width="3.85546875" customWidth="1"/>
    <col min="4" max="4" width="13.42578125" customWidth="1"/>
    <col min="5" max="5" width="3.85546875" customWidth="1"/>
    <col min="6" max="6" width="13.42578125" customWidth="1"/>
    <col min="7" max="7" width="3.85546875" customWidth="1"/>
    <col min="8" max="8" width="13.42578125" customWidth="1"/>
    <col min="9" max="9" width="3.85546875" customWidth="1"/>
    <col min="10" max="10" width="13.42578125" customWidth="1"/>
    <col min="11" max="11" width="3.85546875" customWidth="1"/>
    <col min="12" max="12" width="13.42578125" customWidth="1"/>
    <col min="13" max="13" width="3.85546875" customWidth="1"/>
    <col min="14" max="14" width="13.42578125" customWidth="1"/>
  </cols>
  <sheetData>
    <row r="1" spans="1:14" ht="12.6" hidden="1">
      <c r="A1" s="36">
        <f>EDATE('©'!A17,35)</f>
        <v>46174</v>
      </c>
      <c r="B1" s="37"/>
      <c r="C1" s="1"/>
      <c r="D1" s="1"/>
      <c r="E1" s="1"/>
      <c r="F1" s="1"/>
      <c r="G1" s="1"/>
      <c r="H1" s="1"/>
      <c r="I1" s="1"/>
      <c r="J1" s="1"/>
      <c r="K1" s="38" t="s">
        <v>0</v>
      </c>
      <c r="L1" s="37"/>
      <c r="M1" s="37"/>
      <c r="N1" s="37"/>
    </row>
    <row r="2" spans="1:14" ht="18" customHeight="1">
      <c r="A2" s="39" t="s">
        <v>166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1:14" ht="18" customHeight="1">
      <c r="A3" s="29" t="s">
        <v>167</v>
      </c>
      <c r="B3" s="37"/>
      <c r="C3" s="27" t="s">
        <v>168</v>
      </c>
      <c r="D3" s="37"/>
      <c r="E3" s="19" t="s">
        <v>169</v>
      </c>
      <c r="F3" s="37"/>
      <c r="G3" s="21" t="s">
        <v>170</v>
      </c>
      <c r="H3" s="37"/>
      <c r="I3" s="56" t="s">
        <v>171</v>
      </c>
      <c r="J3" s="37"/>
      <c r="K3" s="23" t="s">
        <v>172</v>
      </c>
      <c r="L3" s="37"/>
      <c r="M3" s="25" t="s">
        <v>173</v>
      </c>
      <c r="N3" s="37"/>
    </row>
    <row r="4" spans="1:14" ht="60.75" customHeight="1">
      <c r="A4" s="42" t="str">
        <f>UPPER(TEXT(A1,"mmmm yyyy"))</f>
        <v>JUNE 2026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</row>
    <row r="5" spans="1:14" ht="15" customHeight="1">
      <c r="A5" s="40">
        <f>A15</f>
        <v>46181</v>
      </c>
      <c r="B5" s="41"/>
      <c r="C5" s="40">
        <f>C15</f>
        <v>46182</v>
      </c>
      <c r="D5" s="41"/>
      <c r="E5" s="40">
        <f>E15</f>
        <v>46183</v>
      </c>
      <c r="F5" s="41"/>
      <c r="G5" s="40">
        <f>G15</f>
        <v>46184</v>
      </c>
      <c r="H5" s="41"/>
      <c r="I5" s="40">
        <f>I15</f>
        <v>46185</v>
      </c>
      <c r="J5" s="41"/>
      <c r="K5" s="40">
        <f>K15</f>
        <v>46186</v>
      </c>
      <c r="L5" s="41"/>
      <c r="M5" s="40">
        <f>M15</f>
        <v>46187</v>
      </c>
      <c r="N5" s="41"/>
    </row>
    <row r="6" spans="1:14" ht="18" customHeight="1">
      <c r="A6" s="2">
        <f>IF(WEEKDAY($A$1,1)=startday,$A$1,"")</f>
        <v>46174</v>
      </c>
      <c r="B6" s="3"/>
      <c r="C6" s="2">
        <f>IF(A6="",IF(WEEKDAY($A$1,1)=MOD(startday,7)+1,$A$1,""),A6+1)</f>
        <v>46175</v>
      </c>
      <c r="D6" s="3"/>
      <c r="E6" s="2">
        <f>IF(C6="",IF(WEEKDAY($A$1,1)=MOD(startday,7)+2,$A$1,""),C6+1)</f>
        <v>46176</v>
      </c>
      <c r="F6" s="3"/>
      <c r="G6" s="2">
        <f>IF(E6="",IF(WEEKDAY($A$1,1)=MOD(startday,7)+3,$A$1,""),E6+1)</f>
        <v>46177</v>
      </c>
      <c r="H6" s="3"/>
      <c r="I6" s="2">
        <f>IF(G6="",IF(WEEKDAY($A$1,1)=MOD(startday,7)+4,$A$1,""),G6+1)</f>
        <v>46178</v>
      </c>
      <c r="J6" s="3"/>
      <c r="K6" s="4">
        <f>IF(I6="",IF(WEEKDAY($A$1,1)=MOD(startday,7)+5,$A$1,""),I6+1)</f>
        <v>46179</v>
      </c>
      <c r="L6" s="5"/>
      <c r="M6" s="4">
        <f>IF(K6="",IF(WEEKDAY($A$1,1)=MOD(startday+5,7)+1,$A$1,""),K6+1)</f>
        <v>46180</v>
      </c>
      <c r="N6" s="5"/>
    </row>
    <row r="7" spans="1:14" ht="14.1">
      <c r="A7" s="29" t="s">
        <v>174</v>
      </c>
      <c r="B7" s="20"/>
      <c r="C7" s="29" t="s">
        <v>174</v>
      </c>
      <c r="D7" s="20"/>
      <c r="E7" s="29" t="s">
        <v>174</v>
      </c>
      <c r="F7" s="20"/>
      <c r="G7" s="29" t="s">
        <v>174</v>
      </c>
      <c r="H7" s="20"/>
      <c r="I7" s="29" t="s">
        <v>174</v>
      </c>
      <c r="J7" s="20"/>
      <c r="K7" s="29" t="s">
        <v>174</v>
      </c>
      <c r="L7" s="20"/>
      <c r="M7" s="29" t="s">
        <v>174</v>
      </c>
      <c r="N7" s="20"/>
    </row>
    <row r="8" spans="1:14" ht="14.1">
      <c r="A8" s="27" t="s">
        <v>175</v>
      </c>
      <c r="B8" s="20"/>
      <c r="C8" s="27" t="s">
        <v>175</v>
      </c>
      <c r="D8" s="20"/>
      <c r="E8" s="27" t="s">
        <v>175</v>
      </c>
      <c r="F8" s="20"/>
      <c r="G8" s="27" t="s">
        <v>175</v>
      </c>
      <c r="H8" s="20"/>
      <c r="I8" s="27" t="s">
        <v>175</v>
      </c>
      <c r="J8" s="20"/>
      <c r="K8" s="27"/>
      <c r="L8" s="20"/>
      <c r="M8" s="27"/>
      <c r="N8" s="20"/>
    </row>
    <row r="9" spans="1:14" ht="14.1">
      <c r="A9" s="19" t="s">
        <v>176</v>
      </c>
      <c r="B9" s="20"/>
      <c r="C9" s="19" t="s">
        <v>176</v>
      </c>
      <c r="D9" s="20"/>
      <c r="E9" s="19" t="s">
        <v>176</v>
      </c>
      <c r="F9" s="20"/>
      <c r="G9" s="19" t="s">
        <v>176</v>
      </c>
      <c r="H9" s="20"/>
      <c r="I9" s="19" t="s">
        <v>176</v>
      </c>
      <c r="J9" s="20"/>
      <c r="K9" s="19" t="s">
        <v>176</v>
      </c>
      <c r="L9" s="20"/>
      <c r="M9" s="19" t="s">
        <v>176</v>
      </c>
      <c r="N9" s="20"/>
    </row>
    <row r="10" spans="1:14" ht="14.1">
      <c r="A10" s="21" t="s">
        <v>177</v>
      </c>
      <c r="B10" s="20"/>
      <c r="C10" s="21" t="s">
        <v>177</v>
      </c>
      <c r="D10" s="20"/>
      <c r="E10" s="21" t="s">
        <v>177</v>
      </c>
      <c r="F10" s="20"/>
      <c r="G10" s="21" t="s">
        <v>177</v>
      </c>
      <c r="H10" s="20"/>
      <c r="I10" s="21" t="s">
        <v>177</v>
      </c>
      <c r="J10" s="20"/>
      <c r="K10" s="30"/>
      <c r="L10" s="20"/>
      <c r="M10" s="30"/>
      <c r="N10" s="20"/>
    </row>
    <row r="11" spans="1:14" ht="14.1">
      <c r="A11" s="56"/>
      <c r="B11" s="20"/>
      <c r="C11" s="57"/>
      <c r="D11" s="20"/>
      <c r="E11" s="56"/>
      <c r="F11" s="20"/>
      <c r="G11" s="56"/>
      <c r="H11" s="20"/>
      <c r="I11" s="56"/>
      <c r="J11" s="20"/>
      <c r="K11" s="56"/>
      <c r="L11" s="20"/>
      <c r="M11" s="56"/>
      <c r="N11" s="20"/>
    </row>
    <row r="12" spans="1:14" ht="14.1">
      <c r="A12" s="23"/>
      <c r="B12" s="20"/>
      <c r="C12" s="22"/>
      <c r="D12" s="20"/>
      <c r="E12" s="23"/>
      <c r="F12" s="20"/>
      <c r="G12" s="22"/>
      <c r="H12" s="20"/>
      <c r="I12" s="22"/>
      <c r="J12" s="20"/>
      <c r="K12" s="22"/>
      <c r="L12" s="20"/>
      <c r="M12" s="22"/>
      <c r="N12" s="20"/>
    </row>
    <row r="13" spans="1:14" ht="18" customHeight="1">
      <c r="A13" s="25" t="s">
        <v>178</v>
      </c>
      <c r="B13" s="20"/>
      <c r="C13" s="25" t="s">
        <v>178</v>
      </c>
      <c r="D13" s="20"/>
      <c r="E13" s="25" t="s">
        <v>178</v>
      </c>
      <c r="F13" s="20"/>
      <c r="G13" s="25" t="s">
        <v>178</v>
      </c>
      <c r="H13" s="20"/>
      <c r="I13" s="25" t="s">
        <v>178</v>
      </c>
      <c r="J13" s="20"/>
      <c r="K13" s="25" t="s">
        <v>178</v>
      </c>
      <c r="L13" s="20"/>
      <c r="M13" s="25" t="s">
        <v>178</v>
      </c>
      <c r="N13" s="20"/>
    </row>
    <row r="14" spans="1:14" ht="18" customHeight="1">
      <c r="A14" s="58" t="s">
        <v>179</v>
      </c>
      <c r="B14" s="24"/>
      <c r="C14" s="58" t="s">
        <v>180</v>
      </c>
      <c r="D14" s="24"/>
      <c r="E14" s="58" t="s">
        <v>181</v>
      </c>
      <c r="F14" s="24"/>
      <c r="G14" s="58" t="s">
        <v>182</v>
      </c>
      <c r="H14" s="24"/>
      <c r="I14" s="58" t="s">
        <v>183</v>
      </c>
      <c r="J14" s="24"/>
      <c r="K14" s="58" t="s">
        <v>184</v>
      </c>
      <c r="L14" s="24"/>
      <c r="M14" s="58" t="s">
        <v>182</v>
      </c>
      <c r="N14" s="24"/>
    </row>
    <row r="15" spans="1:14" ht="18" customHeight="1">
      <c r="A15" s="2">
        <f>M6+1</f>
        <v>46181</v>
      </c>
      <c r="B15" s="3"/>
      <c r="C15" s="2">
        <f>A15+1</f>
        <v>46182</v>
      </c>
      <c r="D15" s="3"/>
      <c r="E15" s="2">
        <f>C15+1</f>
        <v>46183</v>
      </c>
      <c r="F15" s="3"/>
      <c r="G15" s="2">
        <f>E15+1</f>
        <v>46184</v>
      </c>
      <c r="H15" s="3"/>
      <c r="I15" s="2">
        <f>G15+1</f>
        <v>46185</v>
      </c>
      <c r="J15" s="3"/>
      <c r="K15" s="4">
        <f>I15+1</f>
        <v>46186</v>
      </c>
      <c r="L15" s="5"/>
      <c r="M15" s="4">
        <f>K15+1</f>
        <v>46187</v>
      </c>
      <c r="N15" s="5"/>
    </row>
    <row r="16" spans="1:14" ht="14.1">
      <c r="A16" s="50" t="s">
        <v>185</v>
      </c>
      <c r="B16" s="51"/>
      <c r="C16" s="50" t="s">
        <v>185</v>
      </c>
      <c r="D16" s="51"/>
      <c r="E16" s="50" t="s">
        <v>185</v>
      </c>
      <c r="F16" s="51"/>
      <c r="G16" s="50" t="s">
        <v>185</v>
      </c>
      <c r="H16" s="51"/>
      <c r="I16" s="50" t="s">
        <v>185</v>
      </c>
      <c r="J16" s="51"/>
      <c r="K16" s="50" t="s">
        <v>185</v>
      </c>
      <c r="L16" s="51"/>
      <c r="M16" s="50" t="s">
        <v>185</v>
      </c>
      <c r="N16" s="51"/>
    </row>
    <row r="17" spans="1:14" ht="14.1">
      <c r="A17" s="27" t="s">
        <v>186</v>
      </c>
      <c r="B17" s="28"/>
      <c r="C17" s="27" t="s">
        <v>186</v>
      </c>
      <c r="D17" s="28"/>
      <c r="E17" s="27" t="s">
        <v>186</v>
      </c>
      <c r="F17" s="28"/>
      <c r="G17" s="27" t="s">
        <v>186</v>
      </c>
      <c r="H17" s="28"/>
      <c r="I17" s="27" t="s">
        <v>186</v>
      </c>
      <c r="J17" s="28"/>
      <c r="K17" s="26"/>
      <c r="L17" s="20"/>
      <c r="M17" s="26"/>
      <c r="N17" s="20"/>
    </row>
    <row r="18" spans="1:14" ht="14.1">
      <c r="A18" s="19" t="s">
        <v>187</v>
      </c>
      <c r="B18" s="20"/>
      <c r="C18" s="19" t="s">
        <v>187</v>
      </c>
      <c r="D18" s="20"/>
      <c r="E18" s="19" t="s">
        <v>187</v>
      </c>
      <c r="F18" s="20"/>
      <c r="G18" s="19" t="s">
        <v>187</v>
      </c>
      <c r="H18" s="20"/>
      <c r="I18" s="19" t="s">
        <v>188</v>
      </c>
      <c r="J18" s="20"/>
      <c r="K18" s="19" t="s">
        <v>188</v>
      </c>
      <c r="L18" s="20"/>
      <c r="M18" s="19" t="s">
        <v>188</v>
      </c>
      <c r="N18" s="20"/>
    </row>
    <row r="19" spans="1:14" ht="14.1">
      <c r="A19" s="21" t="s">
        <v>189</v>
      </c>
      <c r="B19" s="20"/>
      <c r="C19" s="21" t="s">
        <v>189</v>
      </c>
      <c r="D19" s="20"/>
      <c r="E19" s="21" t="s">
        <v>189</v>
      </c>
      <c r="F19" s="20"/>
      <c r="G19" s="21" t="s">
        <v>189</v>
      </c>
      <c r="H19" s="20"/>
      <c r="I19" s="21" t="s">
        <v>189</v>
      </c>
      <c r="J19" s="20"/>
      <c r="K19" s="21"/>
      <c r="L19" s="20"/>
      <c r="M19" s="21"/>
      <c r="N19" s="20"/>
    </row>
    <row r="20" spans="1:14" ht="14.1">
      <c r="A20" s="56"/>
      <c r="B20" s="20"/>
      <c r="C20" s="56"/>
      <c r="D20" s="20"/>
      <c r="E20" s="56"/>
      <c r="F20" s="20"/>
      <c r="G20" s="56"/>
      <c r="H20" s="20"/>
      <c r="I20" s="56"/>
      <c r="J20" s="20"/>
      <c r="K20" s="56"/>
      <c r="L20" s="20"/>
      <c r="M20" s="56"/>
      <c r="N20" s="20"/>
    </row>
    <row r="21" spans="1:14" ht="14.1">
      <c r="A21" s="23"/>
      <c r="B21" s="20"/>
      <c r="C21" s="22"/>
      <c r="D21" s="20"/>
      <c r="E21" s="23"/>
      <c r="F21" s="20"/>
      <c r="G21" s="22"/>
      <c r="H21" s="20"/>
      <c r="I21" s="22"/>
      <c r="J21" s="20"/>
      <c r="K21" s="22"/>
      <c r="L21" s="20"/>
      <c r="M21" s="22"/>
      <c r="N21" s="20"/>
    </row>
    <row r="22" spans="1:14" ht="18" customHeight="1">
      <c r="A22" s="25" t="s">
        <v>43</v>
      </c>
      <c r="B22" s="20"/>
      <c r="C22" s="25" t="s">
        <v>43</v>
      </c>
      <c r="D22" s="20"/>
      <c r="E22" s="25" t="s">
        <v>43</v>
      </c>
      <c r="F22" s="20"/>
      <c r="G22" s="25" t="s">
        <v>43</v>
      </c>
      <c r="H22" s="20"/>
      <c r="I22" s="25" t="s">
        <v>43</v>
      </c>
      <c r="J22" s="20"/>
      <c r="K22" s="25" t="s">
        <v>43</v>
      </c>
      <c r="L22" s="20"/>
      <c r="M22" s="25" t="s">
        <v>43</v>
      </c>
      <c r="N22" s="20"/>
    </row>
    <row r="23" spans="1:14" ht="18" customHeight="1">
      <c r="A23" s="58" t="s">
        <v>190</v>
      </c>
      <c r="B23" s="24"/>
      <c r="C23" s="58" t="s">
        <v>191</v>
      </c>
      <c r="D23" s="24"/>
      <c r="E23" s="58" t="s">
        <v>180</v>
      </c>
      <c r="F23" s="24"/>
      <c r="G23" s="58" t="s">
        <v>192</v>
      </c>
      <c r="H23" s="24"/>
      <c r="I23" s="58" t="s">
        <v>182</v>
      </c>
      <c r="J23" s="24"/>
      <c r="K23" s="58" t="s">
        <v>193</v>
      </c>
      <c r="L23" s="24"/>
      <c r="M23" s="58" t="s">
        <v>180</v>
      </c>
      <c r="N23" s="24"/>
    </row>
    <row r="24" spans="1:14" ht="18" customHeight="1">
      <c r="A24" s="2">
        <f>M15+1</f>
        <v>46188</v>
      </c>
      <c r="B24" s="3"/>
      <c r="C24" s="2">
        <f>A24+1</f>
        <v>46189</v>
      </c>
      <c r="D24" s="3"/>
      <c r="E24" s="2">
        <f>C24+1</f>
        <v>46190</v>
      </c>
      <c r="F24" s="3"/>
      <c r="G24" s="2">
        <f>E24+1</f>
        <v>46191</v>
      </c>
      <c r="H24" s="3"/>
      <c r="I24" s="2">
        <f>G24+1</f>
        <v>46192</v>
      </c>
      <c r="J24" s="3"/>
      <c r="K24" s="4">
        <f>I24+1</f>
        <v>46193</v>
      </c>
      <c r="L24" s="5"/>
      <c r="M24" s="4">
        <f>K24+1</f>
        <v>46194</v>
      </c>
      <c r="N24" s="5"/>
    </row>
    <row r="25" spans="1:14" ht="14.1">
      <c r="A25" s="29" t="s">
        <v>194</v>
      </c>
      <c r="B25" s="20"/>
      <c r="C25" s="29" t="s">
        <v>194</v>
      </c>
      <c r="D25" s="20"/>
      <c r="E25" s="29" t="s">
        <v>194</v>
      </c>
      <c r="F25" s="20"/>
      <c r="G25" s="29" t="s">
        <v>194</v>
      </c>
      <c r="H25" s="20"/>
      <c r="I25" s="29" t="s">
        <v>194</v>
      </c>
      <c r="J25" s="20"/>
      <c r="K25" s="29" t="s">
        <v>178</v>
      </c>
      <c r="L25" s="20"/>
      <c r="M25" s="29" t="s">
        <v>178</v>
      </c>
      <c r="N25" s="20"/>
    </row>
    <row r="26" spans="1:14" ht="14.1">
      <c r="A26" s="27" t="s">
        <v>178</v>
      </c>
      <c r="B26" s="20"/>
      <c r="C26" s="27" t="s">
        <v>178</v>
      </c>
      <c r="D26" s="20"/>
      <c r="E26" s="27" t="s">
        <v>178</v>
      </c>
      <c r="F26" s="20"/>
      <c r="G26" s="27" t="s">
        <v>178</v>
      </c>
      <c r="H26" s="20"/>
      <c r="I26" s="27" t="s">
        <v>178</v>
      </c>
      <c r="J26" s="20"/>
      <c r="K26" s="26"/>
      <c r="L26" s="20"/>
      <c r="M26" s="26"/>
      <c r="N26" s="20"/>
    </row>
    <row r="27" spans="1:14" ht="14.1">
      <c r="A27" s="19" t="s">
        <v>195</v>
      </c>
      <c r="B27" s="20"/>
      <c r="C27" s="19" t="s">
        <v>195</v>
      </c>
      <c r="D27" s="20"/>
      <c r="E27" s="19" t="s">
        <v>195</v>
      </c>
      <c r="F27" s="20"/>
      <c r="G27" s="19" t="s">
        <v>195</v>
      </c>
      <c r="H27" s="20"/>
      <c r="I27" s="19" t="s">
        <v>195</v>
      </c>
      <c r="J27" s="20"/>
      <c r="K27" s="19" t="s">
        <v>195</v>
      </c>
      <c r="L27" s="20"/>
      <c r="M27" s="19" t="s">
        <v>195</v>
      </c>
      <c r="N27" s="20"/>
    </row>
    <row r="28" spans="1:14" ht="14.1">
      <c r="A28" s="21" t="s">
        <v>176</v>
      </c>
      <c r="B28" s="20"/>
      <c r="C28" s="21" t="s">
        <v>176</v>
      </c>
      <c r="D28" s="20"/>
      <c r="E28" s="21" t="s">
        <v>176</v>
      </c>
      <c r="F28" s="20"/>
      <c r="G28" s="21" t="s">
        <v>176</v>
      </c>
      <c r="H28" s="20"/>
      <c r="I28" s="21" t="s">
        <v>176</v>
      </c>
      <c r="J28" s="20"/>
      <c r="K28" s="21"/>
      <c r="L28" s="20"/>
      <c r="M28" s="21"/>
      <c r="N28" s="20"/>
    </row>
    <row r="29" spans="1:14" ht="14.1">
      <c r="A29" s="56"/>
      <c r="B29" s="20"/>
      <c r="C29" s="56"/>
      <c r="D29" s="20"/>
      <c r="E29" s="56"/>
      <c r="F29" s="20"/>
      <c r="G29" s="56"/>
      <c r="H29" s="20"/>
      <c r="I29" s="56"/>
      <c r="J29" s="20"/>
      <c r="K29" s="56"/>
      <c r="L29" s="20"/>
      <c r="M29" s="56"/>
      <c r="N29" s="20"/>
    </row>
    <row r="30" spans="1:14" ht="14.1">
      <c r="A30" s="23"/>
      <c r="B30" s="20"/>
      <c r="C30" s="22"/>
      <c r="D30" s="20"/>
      <c r="E30" s="23"/>
      <c r="F30" s="20"/>
      <c r="G30" s="22"/>
      <c r="H30" s="20"/>
      <c r="I30" s="22"/>
      <c r="J30" s="20"/>
      <c r="K30" s="22"/>
      <c r="L30" s="20"/>
      <c r="M30" s="22"/>
      <c r="N30" s="20"/>
    </row>
    <row r="31" spans="1:14" ht="18" customHeight="1">
      <c r="A31" s="25" t="s">
        <v>196</v>
      </c>
      <c r="B31" s="20"/>
      <c r="C31" s="25" t="s">
        <v>196</v>
      </c>
      <c r="D31" s="20"/>
      <c r="E31" s="25" t="s">
        <v>196</v>
      </c>
      <c r="F31" s="20"/>
      <c r="G31" s="25" t="s">
        <v>196</v>
      </c>
      <c r="H31" s="20"/>
      <c r="I31" s="25" t="s">
        <v>196</v>
      </c>
      <c r="J31" s="20"/>
      <c r="K31" s="25" t="s">
        <v>196</v>
      </c>
      <c r="L31" s="20"/>
      <c r="M31" s="25" t="s">
        <v>196</v>
      </c>
      <c r="N31" s="20"/>
    </row>
    <row r="32" spans="1:14" ht="18" customHeight="1">
      <c r="A32" s="58" t="s">
        <v>192</v>
      </c>
      <c r="B32" s="24"/>
      <c r="C32" s="58" t="s">
        <v>179</v>
      </c>
      <c r="D32" s="24"/>
      <c r="E32" s="58" t="s">
        <v>183</v>
      </c>
      <c r="F32" s="24"/>
      <c r="G32" s="58" t="s">
        <v>182</v>
      </c>
      <c r="H32" s="24"/>
      <c r="I32" s="58" t="s">
        <v>179</v>
      </c>
      <c r="J32" s="24"/>
      <c r="K32" s="58" t="s">
        <v>197</v>
      </c>
      <c r="L32" s="24"/>
      <c r="M32" s="58" t="s">
        <v>180</v>
      </c>
      <c r="N32" s="24"/>
    </row>
    <row r="33" spans="1:14" ht="18" customHeight="1">
      <c r="A33" s="2">
        <f>M24+1</f>
        <v>46195</v>
      </c>
      <c r="B33" s="3"/>
      <c r="C33" s="2">
        <f>A33+1</f>
        <v>46196</v>
      </c>
      <c r="D33" s="3"/>
      <c r="E33" s="2">
        <f>C33+1</f>
        <v>46197</v>
      </c>
      <c r="F33" s="3"/>
      <c r="G33" s="2">
        <f>E33+1</f>
        <v>46198</v>
      </c>
      <c r="H33" s="3"/>
      <c r="I33" s="2">
        <f>G33+1</f>
        <v>46199</v>
      </c>
      <c r="J33" s="3"/>
      <c r="K33" s="4">
        <f>I33+1</f>
        <v>46200</v>
      </c>
      <c r="L33" s="5"/>
      <c r="M33" s="4">
        <f>K33+1</f>
        <v>46201</v>
      </c>
      <c r="N33" s="5"/>
    </row>
    <row r="34" spans="1:14" ht="14.1">
      <c r="A34" s="29" t="s">
        <v>194</v>
      </c>
      <c r="B34" s="20"/>
      <c r="C34" s="29" t="s">
        <v>194</v>
      </c>
      <c r="D34" s="20"/>
      <c r="E34" s="29" t="s">
        <v>194</v>
      </c>
      <c r="F34" s="20"/>
      <c r="G34" s="29" t="s">
        <v>194</v>
      </c>
      <c r="H34" s="20"/>
      <c r="I34" s="29" t="s">
        <v>194</v>
      </c>
      <c r="J34" s="20"/>
      <c r="K34" s="29" t="s">
        <v>194</v>
      </c>
      <c r="L34" s="20"/>
      <c r="M34" s="29" t="s">
        <v>194</v>
      </c>
      <c r="N34" s="20"/>
    </row>
    <row r="35" spans="1:14" ht="14.1">
      <c r="A35" s="27" t="s">
        <v>186</v>
      </c>
      <c r="B35" s="20"/>
      <c r="C35" s="27" t="s">
        <v>186</v>
      </c>
      <c r="D35" s="20"/>
      <c r="E35" s="27" t="s">
        <v>186</v>
      </c>
      <c r="F35" s="20"/>
      <c r="G35" s="27" t="s">
        <v>186</v>
      </c>
      <c r="H35" s="20"/>
      <c r="I35" s="27" t="s">
        <v>186</v>
      </c>
      <c r="J35" s="20"/>
      <c r="K35" s="26"/>
      <c r="L35" s="20"/>
      <c r="M35" s="26"/>
      <c r="N35" s="20"/>
    </row>
    <row r="36" spans="1:14" ht="29.25" customHeight="1">
      <c r="A36" s="19" t="s">
        <v>188</v>
      </c>
      <c r="B36" s="20"/>
      <c r="C36" s="19" t="s">
        <v>188</v>
      </c>
      <c r="D36" s="20"/>
      <c r="E36" s="19" t="s">
        <v>188</v>
      </c>
      <c r="F36" s="20"/>
      <c r="G36" s="19" t="s">
        <v>188</v>
      </c>
      <c r="H36" s="20"/>
      <c r="I36" s="19" t="s">
        <v>187</v>
      </c>
      <c r="J36" s="20"/>
      <c r="K36" s="19" t="s">
        <v>187</v>
      </c>
      <c r="L36" s="20"/>
      <c r="M36" s="19" t="s">
        <v>187</v>
      </c>
      <c r="N36" s="20"/>
    </row>
    <row r="37" spans="1:14" ht="14.1">
      <c r="A37" s="21" t="s">
        <v>177</v>
      </c>
      <c r="B37" s="20"/>
      <c r="C37" s="21" t="s">
        <v>177</v>
      </c>
      <c r="D37" s="20"/>
      <c r="E37" s="21" t="s">
        <v>177</v>
      </c>
      <c r="F37" s="20"/>
      <c r="G37" s="21" t="s">
        <v>177</v>
      </c>
      <c r="H37" s="20"/>
      <c r="I37" s="21" t="s">
        <v>177</v>
      </c>
      <c r="J37" s="20"/>
      <c r="K37" s="30"/>
      <c r="L37" s="20"/>
      <c r="M37" s="30"/>
      <c r="N37" s="20"/>
    </row>
    <row r="38" spans="1:14" ht="14.1">
      <c r="A38" s="56"/>
      <c r="B38" s="20"/>
      <c r="C38" s="56"/>
      <c r="D38" s="20"/>
      <c r="E38" s="56"/>
      <c r="F38" s="20"/>
      <c r="G38" s="56"/>
      <c r="H38" s="20"/>
      <c r="I38" s="56"/>
      <c r="J38" s="20"/>
      <c r="K38" s="56"/>
      <c r="L38" s="20"/>
      <c r="M38" s="56"/>
      <c r="N38" s="20"/>
    </row>
    <row r="39" spans="1:14" ht="14.1">
      <c r="A39" s="23"/>
      <c r="B39" s="20"/>
      <c r="C39" s="22"/>
      <c r="D39" s="20"/>
      <c r="E39" s="23"/>
      <c r="F39" s="20"/>
      <c r="G39" s="22"/>
      <c r="H39" s="20"/>
      <c r="I39" s="22"/>
      <c r="J39" s="20"/>
      <c r="K39" s="22"/>
      <c r="L39" s="20"/>
      <c r="M39" s="22"/>
      <c r="N39" s="20"/>
    </row>
    <row r="40" spans="1:14" ht="18" customHeight="1">
      <c r="A40" s="25"/>
      <c r="B40" s="20"/>
      <c r="C40" s="25"/>
      <c r="D40" s="20"/>
      <c r="E40" s="25"/>
      <c r="F40" s="20"/>
      <c r="G40" s="25"/>
      <c r="H40" s="20"/>
      <c r="I40" s="25"/>
      <c r="J40" s="20"/>
      <c r="K40" s="25"/>
      <c r="L40" s="20"/>
      <c r="M40" s="25"/>
      <c r="N40" s="20"/>
    </row>
    <row r="41" spans="1:14" ht="18" customHeight="1">
      <c r="A41" s="58" t="s">
        <v>191</v>
      </c>
      <c r="B41" s="24"/>
      <c r="C41" s="58" t="s">
        <v>183</v>
      </c>
      <c r="D41" s="24"/>
      <c r="E41" s="58" t="s">
        <v>198</v>
      </c>
      <c r="F41" s="24"/>
      <c r="G41" s="58" t="s">
        <v>179</v>
      </c>
      <c r="H41" s="24"/>
      <c r="I41" s="58" t="s">
        <v>180</v>
      </c>
      <c r="J41" s="24"/>
      <c r="K41" s="58" t="s">
        <v>180</v>
      </c>
      <c r="L41" s="24"/>
      <c r="M41" s="58" t="s">
        <v>190</v>
      </c>
      <c r="N41" s="24"/>
    </row>
    <row r="42" spans="1:14" ht="18" customHeight="1">
      <c r="A42" s="2">
        <f>IF(M33="","",IF(MONTH(M33+1)&lt;&gt;MONTH($A$1),"",M33+1))</f>
        <v>46202</v>
      </c>
      <c r="B42" s="3"/>
      <c r="C42" s="2">
        <f>IF(A42="","",IF(MONTH(A42+1)&lt;&gt;MONTH($A$1),"",A42+1))</f>
        <v>46203</v>
      </c>
      <c r="D42" s="3"/>
      <c r="E42" s="2">
        <v>1</v>
      </c>
      <c r="F42" s="3"/>
      <c r="G42" s="2">
        <v>2</v>
      </c>
      <c r="H42" s="3"/>
      <c r="I42" s="2">
        <v>3</v>
      </c>
      <c r="J42" s="3"/>
      <c r="K42" s="4">
        <v>4</v>
      </c>
      <c r="L42" s="5"/>
      <c r="M42" s="4">
        <v>5</v>
      </c>
      <c r="N42" s="5"/>
    </row>
    <row r="43" spans="1:14" ht="14.1">
      <c r="A43" s="29" t="s">
        <v>199</v>
      </c>
      <c r="B43" s="20"/>
      <c r="C43" s="29" t="s">
        <v>199</v>
      </c>
      <c r="D43" s="20"/>
      <c r="E43" s="29" t="s">
        <v>199</v>
      </c>
      <c r="F43" s="20"/>
      <c r="G43" s="29" t="s">
        <v>199</v>
      </c>
      <c r="H43" s="20"/>
      <c r="I43" s="29" t="s">
        <v>199</v>
      </c>
      <c r="J43" s="20"/>
      <c r="K43" s="29" t="s">
        <v>199</v>
      </c>
      <c r="L43" s="20"/>
      <c r="M43" s="29" t="s">
        <v>199</v>
      </c>
      <c r="N43" s="20"/>
    </row>
    <row r="44" spans="1:14" ht="14.1">
      <c r="A44" s="27" t="s">
        <v>178</v>
      </c>
      <c r="B44" s="20"/>
      <c r="C44" s="27" t="s">
        <v>178</v>
      </c>
      <c r="D44" s="20"/>
      <c r="E44" s="27" t="s">
        <v>178</v>
      </c>
      <c r="F44" s="20"/>
      <c r="G44" s="27" t="s">
        <v>178</v>
      </c>
      <c r="H44" s="20"/>
      <c r="I44" s="27" t="s">
        <v>178</v>
      </c>
      <c r="J44" s="20"/>
      <c r="K44" s="26"/>
      <c r="L44" s="20"/>
      <c r="M44" s="26"/>
      <c r="N44" s="20"/>
    </row>
    <row r="45" spans="1:14" ht="24" customHeight="1">
      <c r="A45" s="19" t="s">
        <v>189</v>
      </c>
      <c r="B45" s="20"/>
      <c r="C45" s="19" t="s">
        <v>189</v>
      </c>
      <c r="D45" s="20"/>
      <c r="E45" s="19" t="s">
        <v>189</v>
      </c>
      <c r="F45" s="20"/>
      <c r="G45" s="19" t="s">
        <v>189</v>
      </c>
      <c r="H45" s="20"/>
      <c r="I45" s="19" t="s">
        <v>189</v>
      </c>
      <c r="J45" s="20"/>
      <c r="K45" s="19" t="s">
        <v>189</v>
      </c>
      <c r="L45" s="20"/>
      <c r="M45" s="19" t="s">
        <v>189</v>
      </c>
      <c r="N45" s="20"/>
    </row>
    <row r="46" spans="1:14" ht="14.1">
      <c r="A46" s="21" t="s">
        <v>177</v>
      </c>
      <c r="B46" s="20"/>
      <c r="C46" s="21" t="s">
        <v>177</v>
      </c>
      <c r="D46" s="20"/>
      <c r="E46" s="21" t="s">
        <v>177</v>
      </c>
      <c r="F46" s="20"/>
      <c r="G46" s="21" t="s">
        <v>177</v>
      </c>
      <c r="H46" s="20"/>
      <c r="I46" s="21" t="s">
        <v>177</v>
      </c>
      <c r="J46" s="20"/>
      <c r="K46" s="30"/>
      <c r="L46" s="20"/>
      <c r="M46" s="30"/>
      <c r="N46" s="20"/>
    </row>
    <row r="47" spans="1:14" ht="14.1">
      <c r="A47" s="56"/>
      <c r="B47" s="20"/>
      <c r="C47" s="56"/>
      <c r="D47" s="20"/>
      <c r="E47" s="56"/>
      <c r="F47" s="20"/>
      <c r="G47" s="56"/>
      <c r="H47" s="20"/>
      <c r="I47" s="56"/>
      <c r="J47" s="20"/>
      <c r="K47" s="57"/>
      <c r="L47" s="20"/>
      <c r="M47" s="57"/>
      <c r="N47" s="20"/>
    </row>
    <row r="48" spans="1:14" ht="14.1">
      <c r="A48" s="23"/>
      <c r="B48" s="20"/>
      <c r="C48" s="22"/>
      <c r="D48" s="20"/>
      <c r="E48" s="23"/>
      <c r="F48" s="20"/>
      <c r="G48" s="22"/>
      <c r="H48" s="20"/>
      <c r="I48" s="22"/>
      <c r="J48" s="20"/>
      <c r="K48" s="22"/>
      <c r="L48" s="20"/>
      <c r="M48" s="22"/>
      <c r="N48" s="20"/>
    </row>
    <row r="49" spans="1:14" ht="18" customHeight="1">
      <c r="A49" s="25"/>
      <c r="B49" s="20"/>
      <c r="C49" s="25"/>
      <c r="D49" s="20"/>
      <c r="E49" s="25"/>
      <c r="F49" s="20"/>
      <c r="G49" s="25"/>
      <c r="H49" s="20"/>
      <c r="I49" s="25"/>
      <c r="J49" s="20"/>
      <c r="K49" s="31"/>
      <c r="L49" s="24"/>
      <c r="M49" s="31"/>
      <c r="N49" s="24"/>
    </row>
    <row r="50" spans="1:14" ht="18" customHeight="1">
      <c r="A50" s="58" t="s">
        <v>182</v>
      </c>
      <c r="B50" s="24"/>
      <c r="C50" s="58" t="s">
        <v>179</v>
      </c>
      <c r="D50" s="24"/>
      <c r="E50" s="58"/>
      <c r="F50" s="24"/>
      <c r="G50" s="58"/>
      <c r="H50" s="24"/>
      <c r="I50" s="58"/>
      <c r="J50" s="24"/>
      <c r="K50" s="58"/>
      <c r="L50" s="24"/>
      <c r="M50" s="58"/>
      <c r="N50" s="24"/>
    </row>
    <row r="51" spans="1:14" ht="18" customHeight="1">
      <c r="A51" s="2"/>
      <c r="B51" s="3"/>
      <c r="C51" s="2"/>
      <c r="D51" s="3"/>
      <c r="E51" s="46" t="s">
        <v>22</v>
      </c>
      <c r="F51" s="47"/>
      <c r="G51" s="48"/>
      <c r="H51" s="47"/>
      <c r="I51" s="47"/>
      <c r="J51" s="47"/>
      <c r="K51" s="47"/>
      <c r="L51" s="47"/>
      <c r="M51" s="47"/>
      <c r="N51" s="49"/>
    </row>
    <row r="52" spans="1:14" ht="14.1">
      <c r="A52" s="29"/>
      <c r="B52" s="20"/>
      <c r="C52" s="44"/>
      <c r="D52" s="20"/>
      <c r="E52" s="45"/>
      <c r="F52" s="37"/>
      <c r="G52" s="37"/>
      <c r="H52" s="37"/>
      <c r="I52" s="37"/>
      <c r="J52" s="37"/>
      <c r="K52" s="37"/>
      <c r="L52" s="37"/>
      <c r="M52" s="37"/>
      <c r="N52" s="20"/>
    </row>
    <row r="53" spans="1:14" ht="14.1">
      <c r="A53" s="27"/>
      <c r="B53" s="20"/>
      <c r="C53" s="26"/>
      <c r="D53" s="20"/>
      <c r="E53" s="45"/>
      <c r="F53" s="37"/>
      <c r="G53" s="37"/>
      <c r="H53" s="37"/>
      <c r="I53" s="37"/>
      <c r="J53" s="37"/>
      <c r="K53" s="37"/>
      <c r="L53" s="37"/>
      <c r="M53" s="37"/>
      <c r="N53" s="20"/>
    </row>
    <row r="54" spans="1:14" ht="14.1">
      <c r="A54" s="19"/>
      <c r="B54" s="20"/>
      <c r="C54" s="35"/>
      <c r="D54" s="20"/>
      <c r="E54" s="45"/>
      <c r="F54" s="37"/>
      <c r="G54" s="37"/>
      <c r="H54" s="37"/>
      <c r="I54" s="37"/>
      <c r="J54" s="37"/>
      <c r="K54" s="37"/>
      <c r="L54" s="37"/>
      <c r="M54" s="37"/>
      <c r="N54" s="20"/>
    </row>
    <row r="55" spans="1:14" ht="14.1">
      <c r="A55" s="21"/>
      <c r="B55" s="20"/>
      <c r="C55" s="30"/>
      <c r="D55" s="20"/>
      <c r="E55" s="6"/>
      <c r="F55" s="7"/>
      <c r="G55" s="7"/>
      <c r="H55" s="7"/>
      <c r="I55" s="7"/>
      <c r="J55" s="7"/>
      <c r="K55" s="7"/>
      <c r="L55" s="7"/>
      <c r="M55" s="7"/>
      <c r="N55" s="8"/>
    </row>
    <row r="56" spans="1:14" ht="14.1">
      <c r="A56" s="56"/>
      <c r="B56" s="20"/>
      <c r="C56" s="57"/>
      <c r="D56" s="20"/>
      <c r="E56" s="6"/>
      <c r="F56" s="7"/>
      <c r="G56" s="7"/>
      <c r="H56" s="7"/>
      <c r="I56" s="7"/>
      <c r="J56" s="7"/>
      <c r="K56" s="7"/>
      <c r="L56" s="7"/>
      <c r="M56" s="7"/>
      <c r="N56" s="8"/>
    </row>
    <row r="57" spans="1:14" ht="14.1">
      <c r="A57" s="23"/>
      <c r="B57" s="20"/>
      <c r="C57" s="22"/>
      <c r="D57" s="20"/>
      <c r="E57" s="6"/>
      <c r="F57" s="7"/>
      <c r="G57" s="7"/>
      <c r="H57" s="7"/>
      <c r="I57" s="7"/>
      <c r="J57" s="7"/>
      <c r="K57" s="7"/>
      <c r="L57" s="7"/>
      <c r="M57" s="7"/>
      <c r="N57" s="8"/>
    </row>
    <row r="58" spans="1:14" ht="15" customHeight="1">
      <c r="A58" s="25"/>
      <c r="B58" s="20"/>
      <c r="C58" s="31"/>
      <c r="D58" s="24"/>
      <c r="E58" s="32" t="s">
        <v>23</v>
      </c>
      <c r="F58" s="33"/>
      <c r="G58" s="33"/>
      <c r="H58" s="33"/>
      <c r="I58" s="34" t="str">
        <f>HYPERLINK("https://www.vertex42.com/calendars/academic-calendar.html","https://www.vertex42.com/calendars/academic-calendar.html")</f>
        <v>https://www.vertex42.com/calendars/academic-calendar.html</v>
      </c>
      <c r="J58" s="33"/>
      <c r="K58" s="33"/>
      <c r="L58" s="33"/>
      <c r="M58" s="33"/>
      <c r="N58" s="24"/>
    </row>
  </sheetData>
  <mergeCells count="319">
    <mergeCell ref="M25:N25"/>
    <mergeCell ref="G25:H25"/>
    <mergeCell ref="G27:H27"/>
    <mergeCell ref="E25:F25"/>
    <mergeCell ref="C27:D27"/>
    <mergeCell ref="G26:H26"/>
    <mergeCell ref="I26:J26"/>
    <mergeCell ref="I25:J25"/>
    <mergeCell ref="I27:J27"/>
    <mergeCell ref="M22:N22"/>
    <mergeCell ref="M23:N23"/>
    <mergeCell ref="G21:H21"/>
    <mergeCell ref="G22:H22"/>
    <mergeCell ref="M21:N21"/>
    <mergeCell ref="A30:B30"/>
    <mergeCell ref="C30:D30"/>
    <mergeCell ref="A28:B28"/>
    <mergeCell ref="A29:B29"/>
    <mergeCell ref="C29:D29"/>
    <mergeCell ref="E29:F29"/>
    <mergeCell ref="E28:F28"/>
    <mergeCell ref="C28:D28"/>
    <mergeCell ref="E26:F26"/>
    <mergeCell ref="E27:F27"/>
    <mergeCell ref="A27:B27"/>
    <mergeCell ref="A26:B26"/>
    <mergeCell ref="A25:B25"/>
    <mergeCell ref="C26:D26"/>
    <mergeCell ref="C25:D25"/>
    <mergeCell ref="K26:L26"/>
    <mergeCell ref="K25:L25"/>
    <mergeCell ref="M29:N29"/>
    <mergeCell ref="M26:N26"/>
    <mergeCell ref="A19:B19"/>
    <mergeCell ref="C20:D20"/>
    <mergeCell ref="C19:D19"/>
    <mergeCell ref="C16:D16"/>
    <mergeCell ref="C17:D17"/>
    <mergeCell ref="A18:B18"/>
    <mergeCell ref="C18:D18"/>
    <mergeCell ref="A17:B17"/>
    <mergeCell ref="A16:B16"/>
    <mergeCell ref="E7:F7"/>
    <mergeCell ref="E9:F9"/>
    <mergeCell ref="E8:F8"/>
    <mergeCell ref="C10:D10"/>
    <mergeCell ref="K14:L14"/>
    <mergeCell ref="I12:J12"/>
    <mergeCell ref="I14:J14"/>
    <mergeCell ref="I13:J13"/>
    <mergeCell ref="M20:N20"/>
    <mergeCell ref="M19:N19"/>
    <mergeCell ref="M18:N18"/>
    <mergeCell ref="M17:N17"/>
    <mergeCell ref="G16:H16"/>
    <mergeCell ref="E16:F16"/>
    <mergeCell ref="I16:J16"/>
    <mergeCell ref="K16:L16"/>
    <mergeCell ref="M16:N16"/>
    <mergeCell ref="E18:F18"/>
    <mergeCell ref="G7:H7"/>
    <mergeCell ref="M7:N7"/>
    <mergeCell ref="K7:L7"/>
    <mergeCell ref="K8:L8"/>
    <mergeCell ref="M8:N8"/>
    <mergeCell ref="I9:J9"/>
    <mergeCell ref="I8:J8"/>
    <mergeCell ref="I7:J7"/>
    <mergeCell ref="I10:J10"/>
    <mergeCell ref="G10:H10"/>
    <mergeCell ref="M10:N10"/>
    <mergeCell ref="K10:L10"/>
    <mergeCell ref="G8:H8"/>
    <mergeCell ref="A38:B38"/>
    <mergeCell ref="C38:D38"/>
    <mergeCell ref="E38:F38"/>
    <mergeCell ref="G38:H38"/>
    <mergeCell ref="I38:J38"/>
    <mergeCell ref="K38:L38"/>
    <mergeCell ref="M38:N38"/>
    <mergeCell ref="A34:B34"/>
    <mergeCell ref="C34:D34"/>
    <mergeCell ref="E34:F34"/>
    <mergeCell ref="G34:H34"/>
    <mergeCell ref="I34:J34"/>
    <mergeCell ref="K34:L34"/>
    <mergeCell ref="M34:N34"/>
    <mergeCell ref="A35:B35"/>
    <mergeCell ref="C35:D35"/>
    <mergeCell ref="E35:F35"/>
    <mergeCell ref="A39:B39"/>
    <mergeCell ref="C39:D39"/>
    <mergeCell ref="E39:F39"/>
    <mergeCell ref="G39:H39"/>
    <mergeCell ref="I39:J39"/>
    <mergeCell ref="K39:L39"/>
    <mergeCell ref="M39:N39"/>
    <mergeCell ref="A36:B36"/>
    <mergeCell ref="C36:D36"/>
    <mergeCell ref="E36:F36"/>
    <mergeCell ref="G36:H36"/>
    <mergeCell ref="I36:J36"/>
    <mergeCell ref="K36:L36"/>
    <mergeCell ref="M36:N36"/>
    <mergeCell ref="A37:B37"/>
    <mergeCell ref="C37:D37"/>
    <mergeCell ref="E37:F37"/>
    <mergeCell ref="G37:H37"/>
    <mergeCell ref="I37:J37"/>
    <mergeCell ref="K37:L37"/>
    <mergeCell ref="M37:N37"/>
    <mergeCell ref="C32:D32"/>
    <mergeCell ref="C31:D31"/>
    <mergeCell ref="A32:B32"/>
    <mergeCell ref="A31:B31"/>
    <mergeCell ref="M31:N31"/>
    <mergeCell ref="K31:L31"/>
    <mergeCell ref="M32:N32"/>
    <mergeCell ref="K32:L32"/>
    <mergeCell ref="E32:F32"/>
    <mergeCell ref="I31:J31"/>
    <mergeCell ref="I32:J32"/>
    <mergeCell ref="G32:H32"/>
    <mergeCell ref="E31:F31"/>
    <mergeCell ref="G31:H31"/>
    <mergeCell ref="K29:L29"/>
    <mergeCell ref="M30:N30"/>
    <mergeCell ref="K30:L30"/>
    <mergeCell ref="K28:L28"/>
    <mergeCell ref="M28:N28"/>
    <mergeCell ref="K27:L27"/>
    <mergeCell ref="M27:N27"/>
    <mergeCell ref="E51:F51"/>
    <mergeCell ref="G51:N51"/>
    <mergeCell ref="I29:J29"/>
    <mergeCell ref="I30:J30"/>
    <mergeCell ref="I28:J28"/>
    <mergeCell ref="E30:F30"/>
    <mergeCell ref="G28:H28"/>
    <mergeCell ref="G30:H30"/>
    <mergeCell ref="G29:H29"/>
    <mergeCell ref="G35:H35"/>
    <mergeCell ref="I35:J35"/>
    <mergeCell ref="K35:L35"/>
    <mergeCell ref="M35:N35"/>
    <mergeCell ref="A52:B52"/>
    <mergeCell ref="C52:D52"/>
    <mergeCell ref="E52:N52"/>
    <mergeCell ref="C53:D53"/>
    <mergeCell ref="E53:N53"/>
    <mergeCell ref="E54:N54"/>
    <mergeCell ref="A8:B8"/>
    <mergeCell ref="A7:B7"/>
    <mergeCell ref="C7:D7"/>
    <mergeCell ref="C8:D8"/>
    <mergeCell ref="C47:D47"/>
    <mergeCell ref="E47:F47"/>
    <mergeCell ref="G47:H47"/>
    <mergeCell ref="I47:J47"/>
    <mergeCell ref="K47:L47"/>
    <mergeCell ref="M47:N47"/>
    <mergeCell ref="A48:B48"/>
    <mergeCell ref="C48:D48"/>
    <mergeCell ref="E48:F48"/>
    <mergeCell ref="G48:H48"/>
    <mergeCell ref="I48:J48"/>
    <mergeCell ref="K48:L48"/>
    <mergeCell ref="M48:N48"/>
    <mergeCell ref="A45:B45"/>
    <mergeCell ref="K5:L5"/>
    <mergeCell ref="M5:N5"/>
    <mergeCell ref="M3:N3"/>
    <mergeCell ref="A4:N4"/>
    <mergeCell ref="A5:B5"/>
    <mergeCell ref="C5:D5"/>
    <mergeCell ref="E5:F5"/>
    <mergeCell ref="G5:H5"/>
    <mergeCell ref="I5:J5"/>
    <mergeCell ref="I3:J3"/>
    <mergeCell ref="K3:L3"/>
    <mergeCell ref="A1:B1"/>
    <mergeCell ref="K1:N1"/>
    <mergeCell ref="A2:N2"/>
    <mergeCell ref="A3:B3"/>
    <mergeCell ref="C3:D3"/>
    <mergeCell ref="E3:F3"/>
    <mergeCell ref="G3:H3"/>
    <mergeCell ref="A57:B57"/>
    <mergeCell ref="C57:D57"/>
    <mergeCell ref="A49:B49"/>
    <mergeCell ref="C49:D49"/>
    <mergeCell ref="E49:F49"/>
    <mergeCell ref="G49:H49"/>
    <mergeCell ref="I49:J49"/>
    <mergeCell ref="K49:L49"/>
    <mergeCell ref="M49:N49"/>
    <mergeCell ref="A50:B50"/>
    <mergeCell ref="C50:D50"/>
    <mergeCell ref="E50:F50"/>
    <mergeCell ref="G50:H50"/>
    <mergeCell ref="I50:J50"/>
    <mergeCell ref="K50:L50"/>
    <mergeCell ref="M50:N50"/>
    <mergeCell ref="A47:B47"/>
    <mergeCell ref="A58:B58"/>
    <mergeCell ref="C58:D58"/>
    <mergeCell ref="E58:H58"/>
    <mergeCell ref="I58:N58"/>
    <mergeCell ref="A53:B53"/>
    <mergeCell ref="A54:B54"/>
    <mergeCell ref="C54:D54"/>
    <mergeCell ref="A55:B55"/>
    <mergeCell ref="C55:D55"/>
    <mergeCell ref="A56:B56"/>
    <mergeCell ref="C56:D56"/>
    <mergeCell ref="C45:D45"/>
    <mergeCell ref="E45:F45"/>
    <mergeCell ref="G45:H45"/>
    <mergeCell ref="I45:J45"/>
    <mergeCell ref="K45:L45"/>
    <mergeCell ref="M45:N45"/>
    <mergeCell ref="A46:B46"/>
    <mergeCell ref="C46:D46"/>
    <mergeCell ref="E46:F46"/>
    <mergeCell ref="G46:H46"/>
    <mergeCell ref="I46:J46"/>
    <mergeCell ref="K46:L46"/>
    <mergeCell ref="M46:N46"/>
    <mergeCell ref="A43:B43"/>
    <mergeCell ref="C43:D43"/>
    <mergeCell ref="E43:F43"/>
    <mergeCell ref="G43:H43"/>
    <mergeCell ref="I43:J43"/>
    <mergeCell ref="K43:L43"/>
    <mergeCell ref="M43:N43"/>
    <mergeCell ref="A44:B44"/>
    <mergeCell ref="C44:D44"/>
    <mergeCell ref="E44:F44"/>
    <mergeCell ref="G44:H44"/>
    <mergeCell ref="I44:J44"/>
    <mergeCell ref="K44:L44"/>
    <mergeCell ref="M44:N44"/>
    <mergeCell ref="A40:B40"/>
    <mergeCell ref="C40:D40"/>
    <mergeCell ref="E40:F40"/>
    <mergeCell ref="G40:H40"/>
    <mergeCell ref="I40:J40"/>
    <mergeCell ref="K40:L40"/>
    <mergeCell ref="M40:N40"/>
    <mergeCell ref="A41:B41"/>
    <mergeCell ref="C41:D41"/>
    <mergeCell ref="E41:F41"/>
    <mergeCell ref="G41:H41"/>
    <mergeCell ref="I41:J41"/>
    <mergeCell ref="K41:L41"/>
    <mergeCell ref="M41:N41"/>
    <mergeCell ref="A22:B22"/>
    <mergeCell ref="E22:F22"/>
    <mergeCell ref="E23:F23"/>
    <mergeCell ref="I23:J23"/>
    <mergeCell ref="I22:J22"/>
    <mergeCell ref="K23:L23"/>
    <mergeCell ref="C23:D23"/>
    <mergeCell ref="A23:B23"/>
    <mergeCell ref="C22:D22"/>
    <mergeCell ref="K22:L22"/>
    <mergeCell ref="G23:H23"/>
    <mergeCell ref="A21:B21"/>
    <mergeCell ref="K20:L20"/>
    <mergeCell ref="I21:J21"/>
    <mergeCell ref="I20:J20"/>
    <mergeCell ref="K21:L21"/>
    <mergeCell ref="E21:F21"/>
    <mergeCell ref="E20:F20"/>
    <mergeCell ref="G20:H20"/>
    <mergeCell ref="C21:D21"/>
    <mergeCell ref="A20:B20"/>
    <mergeCell ref="G18:H18"/>
    <mergeCell ref="I18:J18"/>
    <mergeCell ref="K19:L19"/>
    <mergeCell ref="K18:L18"/>
    <mergeCell ref="I19:J19"/>
    <mergeCell ref="G19:H19"/>
    <mergeCell ref="E19:F19"/>
    <mergeCell ref="K17:L17"/>
    <mergeCell ref="I17:J17"/>
    <mergeCell ref="E17:F17"/>
    <mergeCell ref="G17:H17"/>
    <mergeCell ref="M14:N14"/>
    <mergeCell ref="M13:N13"/>
    <mergeCell ref="A14:B14"/>
    <mergeCell ref="C13:D13"/>
    <mergeCell ref="G13:H13"/>
    <mergeCell ref="E13:F13"/>
    <mergeCell ref="E14:F14"/>
    <mergeCell ref="G14:H14"/>
    <mergeCell ref="K13:L13"/>
    <mergeCell ref="A13:B13"/>
    <mergeCell ref="C14:D14"/>
    <mergeCell ref="A9:B9"/>
    <mergeCell ref="G9:H9"/>
    <mergeCell ref="A10:B10"/>
    <mergeCell ref="C9:D9"/>
    <mergeCell ref="M12:N12"/>
    <mergeCell ref="A12:B12"/>
    <mergeCell ref="K11:L11"/>
    <mergeCell ref="M11:N11"/>
    <mergeCell ref="G12:H12"/>
    <mergeCell ref="E12:F12"/>
    <mergeCell ref="A11:B11"/>
    <mergeCell ref="C11:D11"/>
    <mergeCell ref="C12:D12"/>
    <mergeCell ref="K12:L12"/>
    <mergeCell ref="G11:H11"/>
    <mergeCell ref="E11:F11"/>
    <mergeCell ref="M9:N9"/>
    <mergeCell ref="K9:L9"/>
    <mergeCell ref="I11:J11"/>
    <mergeCell ref="E10:F10"/>
  </mergeCells>
  <printOptions horizontalCentered="1" gridLines="1"/>
  <pageMargins left="0.5" right="0.5" top="0.25" bottom="0.25" header="0" footer="0"/>
  <pageSetup scale="78" pageOrder="overThenDown" orientation="portrait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  <pageSetUpPr fitToPage="1"/>
  </sheetPr>
  <dimension ref="A1:N58"/>
  <sheetViews>
    <sheetView showGridLines="0" topLeftCell="A20" workbookViewId="0">
      <selection activeCell="I28" sqref="I28:J28"/>
    </sheetView>
  </sheetViews>
  <sheetFormatPr defaultColWidth="12.5703125" defaultRowHeight="18" customHeight="1"/>
  <cols>
    <col min="1" max="1" width="3.85546875" customWidth="1"/>
    <col min="2" max="2" width="13.42578125" customWidth="1"/>
    <col min="3" max="3" width="3.85546875" customWidth="1"/>
    <col min="4" max="4" width="13.42578125" customWidth="1"/>
    <col min="5" max="5" width="3.85546875" customWidth="1"/>
    <col min="6" max="6" width="13.42578125" customWidth="1"/>
    <col min="7" max="7" width="3.85546875" customWidth="1"/>
    <col min="8" max="8" width="13.42578125" customWidth="1"/>
    <col min="9" max="9" width="3.85546875" customWidth="1"/>
    <col min="10" max="10" width="15.42578125" customWidth="1"/>
    <col min="11" max="11" width="3.85546875" customWidth="1"/>
    <col min="12" max="12" width="13.42578125" customWidth="1"/>
    <col min="13" max="13" width="3.85546875" customWidth="1"/>
    <col min="14" max="14" width="13.42578125" customWidth="1"/>
  </cols>
  <sheetData>
    <row r="1" spans="1:14" ht="18" customHeight="1">
      <c r="A1" s="36">
        <f>EDATE('©'!A17,36)</f>
        <v>46204</v>
      </c>
      <c r="B1" s="37"/>
      <c r="C1" s="1"/>
      <c r="D1" s="1"/>
      <c r="E1" s="1"/>
      <c r="F1" s="1"/>
      <c r="G1" s="1"/>
      <c r="H1" s="1"/>
      <c r="I1" s="1"/>
      <c r="J1" s="1"/>
      <c r="K1" s="38" t="s">
        <v>0</v>
      </c>
      <c r="L1" s="37"/>
      <c r="M1" s="37"/>
      <c r="N1" s="37"/>
    </row>
    <row r="2" spans="1:14" ht="18" customHeight="1">
      <c r="A2" s="39" t="s">
        <v>166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1:14" ht="18" customHeight="1">
      <c r="A3" s="29" t="s">
        <v>167</v>
      </c>
      <c r="B3" s="37"/>
      <c r="C3" s="27" t="s">
        <v>168</v>
      </c>
      <c r="D3" s="37"/>
      <c r="E3" s="19" t="s">
        <v>169</v>
      </c>
      <c r="F3" s="37"/>
      <c r="G3" s="21" t="s">
        <v>170</v>
      </c>
      <c r="H3" s="37"/>
      <c r="I3" s="56" t="s">
        <v>171</v>
      </c>
      <c r="J3" s="37"/>
      <c r="K3" s="23" t="s">
        <v>172</v>
      </c>
      <c r="L3" s="37"/>
      <c r="M3" s="25" t="s">
        <v>173</v>
      </c>
      <c r="N3" s="37"/>
    </row>
    <row r="4" spans="1:14" ht="69" customHeight="1">
      <c r="A4" s="42" t="str">
        <f>UPPER(TEXT(A1,"mmmm yyyy"))</f>
        <v>JULY 2026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</row>
    <row r="5" spans="1:14" ht="18" customHeight="1">
      <c r="A5" s="40">
        <f>A15</f>
        <v>46209</v>
      </c>
      <c r="B5" s="41"/>
      <c r="C5" s="40">
        <f>C15</f>
        <v>46210</v>
      </c>
      <c r="D5" s="41"/>
      <c r="E5" s="40">
        <f>E15</f>
        <v>46211</v>
      </c>
      <c r="F5" s="41"/>
      <c r="G5" s="40">
        <f>G15</f>
        <v>46212</v>
      </c>
      <c r="H5" s="41"/>
      <c r="I5" s="40">
        <f>I15</f>
        <v>46213</v>
      </c>
      <c r="J5" s="41"/>
      <c r="K5" s="40">
        <f>K15</f>
        <v>46214</v>
      </c>
      <c r="L5" s="41"/>
      <c r="M5" s="40">
        <f>M15</f>
        <v>46215</v>
      </c>
      <c r="N5" s="41"/>
    </row>
    <row r="6" spans="1:14" ht="18" customHeight="1">
      <c r="A6" s="2" t="str">
        <f>IF(WEEKDAY($A$1,1)=startday,$A$1,"")</f>
        <v/>
      </c>
      <c r="B6" s="3"/>
      <c r="C6" s="2" t="str">
        <f>IF(A6="",IF(WEEKDAY($A$1,1)=MOD(startday,7)+1,$A$1,""),A6+1)</f>
        <v/>
      </c>
      <c r="D6" s="3"/>
      <c r="E6" s="2">
        <f>IF(C6="",IF(WEEKDAY($A$1,1)=MOD(startday,7)+2,$A$1,""),C6+1)</f>
        <v>46204</v>
      </c>
      <c r="F6" s="3"/>
      <c r="G6" s="2">
        <f>IF(E6="",IF(WEEKDAY($A$1,1)=MOD(startday,7)+3,$A$1,""),E6+1)</f>
        <v>46205</v>
      </c>
      <c r="H6" s="3"/>
      <c r="I6" s="2">
        <f>IF(G6="",IF(WEEKDAY($A$1,1)=MOD(startday,7)+4,$A$1,""),G6+1)</f>
        <v>46206</v>
      </c>
      <c r="J6" s="3"/>
      <c r="K6" s="4">
        <f>IF(I6="",IF(WEEKDAY($A$1,1)=MOD(startday,7)+5,$A$1,""),I6+1)</f>
        <v>46207</v>
      </c>
      <c r="L6" s="5" t="s">
        <v>200</v>
      </c>
      <c r="M6" s="4">
        <f>IF(K6="",IF(WEEKDAY($A$1,1)=MOD(startday+5,7)+1,$A$1,""),K6+1)</f>
        <v>46208</v>
      </c>
      <c r="N6" s="5"/>
    </row>
    <row r="7" spans="1:14" ht="18" customHeight="1">
      <c r="A7" s="29" t="s">
        <v>199</v>
      </c>
      <c r="B7" s="20"/>
      <c r="C7" s="29" t="s">
        <v>199</v>
      </c>
      <c r="D7" s="20"/>
      <c r="E7" s="29" t="s">
        <v>199</v>
      </c>
      <c r="F7" s="20"/>
      <c r="G7" s="29" t="s">
        <v>199</v>
      </c>
      <c r="H7" s="20"/>
      <c r="I7" s="29" t="s">
        <v>199</v>
      </c>
      <c r="J7" s="20"/>
      <c r="K7" s="29" t="s">
        <v>199</v>
      </c>
      <c r="L7" s="20"/>
      <c r="M7" s="29" t="s">
        <v>199</v>
      </c>
      <c r="N7" s="20"/>
    </row>
    <row r="8" spans="1:14" ht="18" customHeight="1">
      <c r="A8" s="27" t="s">
        <v>178</v>
      </c>
      <c r="B8" s="20"/>
      <c r="C8" s="27" t="s">
        <v>178</v>
      </c>
      <c r="D8" s="20"/>
      <c r="E8" s="27" t="s">
        <v>178</v>
      </c>
      <c r="F8" s="20"/>
      <c r="G8" s="27" t="s">
        <v>178</v>
      </c>
      <c r="H8" s="20"/>
      <c r="I8" s="27" t="s">
        <v>178</v>
      </c>
      <c r="J8" s="20"/>
      <c r="K8" s="26"/>
      <c r="L8" s="20"/>
      <c r="M8" s="26"/>
      <c r="N8" s="20"/>
    </row>
    <row r="9" spans="1:14" ht="18" customHeight="1">
      <c r="A9" s="19" t="s">
        <v>189</v>
      </c>
      <c r="B9" s="20"/>
      <c r="C9" s="19" t="s">
        <v>189</v>
      </c>
      <c r="D9" s="20"/>
      <c r="E9" s="19" t="s">
        <v>189</v>
      </c>
      <c r="F9" s="20"/>
      <c r="G9" s="19" t="s">
        <v>189</v>
      </c>
      <c r="H9" s="20"/>
      <c r="I9" s="19" t="s">
        <v>189</v>
      </c>
      <c r="J9" s="20"/>
      <c r="K9" s="19" t="s">
        <v>189</v>
      </c>
      <c r="L9" s="20"/>
      <c r="M9" s="19" t="s">
        <v>189</v>
      </c>
      <c r="N9" s="20"/>
    </row>
    <row r="10" spans="1:14" ht="18" customHeight="1">
      <c r="A10" s="21" t="s">
        <v>177</v>
      </c>
      <c r="B10" s="20"/>
      <c r="C10" s="21" t="s">
        <v>177</v>
      </c>
      <c r="D10" s="20"/>
      <c r="E10" s="21" t="s">
        <v>177</v>
      </c>
      <c r="F10" s="20"/>
      <c r="G10" s="21" t="s">
        <v>177</v>
      </c>
      <c r="H10" s="20"/>
      <c r="I10" s="21" t="s">
        <v>177</v>
      </c>
      <c r="J10" s="20"/>
      <c r="K10" s="30"/>
      <c r="L10" s="20"/>
      <c r="M10" s="30"/>
      <c r="N10" s="20"/>
    </row>
    <row r="11" spans="1:14" ht="18" customHeight="1">
      <c r="A11" s="56"/>
      <c r="B11" s="20"/>
      <c r="C11" s="57"/>
      <c r="D11" s="20"/>
      <c r="E11" s="56"/>
      <c r="F11" s="20"/>
      <c r="G11" s="56"/>
      <c r="H11" s="20"/>
      <c r="I11" s="56"/>
      <c r="J11" s="20"/>
      <c r="K11" s="56"/>
      <c r="L11" s="20"/>
      <c r="M11" s="56"/>
      <c r="N11" s="20"/>
    </row>
    <row r="12" spans="1:14" ht="18" customHeight="1">
      <c r="A12" s="23"/>
      <c r="B12" s="20"/>
      <c r="C12" s="22"/>
      <c r="D12" s="20"/>
      <c r="E12" s="23"/>
      <c r="F12" s="20"/>
      <c r="G12" s="22"/>
      <c r="H12" s="20"/>
      <c r="I12" s="22"/>
      <c r="J12" s="20"/>
      <c r="K12" s="22"/>
      <c r="L12" s="20"/>
      <c r="M12" s="22"/>
      <c r="N12" s="20"/>
    </row>
    <row r="13" spans="1:14" ht="18" customHeight="1">
      <c r="A13" s="25"/>
      <c r="B13" s="20"/>
      <c r="C13" s="25"/>
      <c r="D13" s="20"/>
      <c r="E13" s="25"/>
      <c r="F13" s="20"/>
      <c r="G13" s="25"/>
      <c r="H13" s="20"/>
      <c r="I13" s="25"/>
      <c r="J13" s="20"/>
      <c r="K13" s="25"/>
      <c r="L13" s="20"/>
      <c r="M13" s="25"/>
      <c r="N13" s="20"/>
    </row>
    <row r="14" spans="1:14" ht="18" customHeight="1">
      <c r="A14" s="58"/>
      <c r="B14" s="24"/>
      <c r="C14" s="58"/>
      <c r="D14" s="24"/>
      <c r="E14" s="58"/>
      <c r="F14" s="24"/>
      <c r="G14" s="58"/>
      <c r="H14" s="24"/>
      <c r="I14" s="58"/>
      <c r="J14" s="24"/>
      <c r="K14" s="58"/>
      <c r="L14" s="24"/>
      <c r="M14" s="58"/>
      <c r="N14" s="24"/>
    </row>
    <row r="15" spans="1:14" ht="18" customHeight="1">
      <c r="A15" s="2">
        <f>M6+1</f>
        <v>46209</v>
      </c>
      <c r="B15" s="3"/>
      <c r="C15" s="2">
        <f>A15+1</f>
        <v>46210</v>
      </c>
      <c r="D15" s="3"/>
      <c r="E15" s="2">
        <f>C15+1</f>
        <v>46211</v>
      </c>
      <c r="F15" s="3"/>
      <c r="G15" s="2">
        <f>E15+1</f>
        <v>46212</v>
      </c>
      <c r="H15" s="3"/>
      <c r="I15" s="2">
        <f>G15+1</f>
        <v>46213</v>
      </c>
      <c r="J15" s="3"/>
      <c r="K15" s="4">
        <f>I15+1</f>
        <v>46214</v>
      </c>
      <c r="L15" s="5"/>
      <c r="M15" s="4">
        <f>K15+1</f>
        <v>46215</v>
      </c>
      <c r="N15" s="5"/>
    </row>
    <row r="16" spans="1:14" ht="18" customHeight="1">
      <c r="A16" s="50" t="s">
        <v>175</v>
      </c>
      <c r="B16" s="51"/>
      <c r="C16" s="50" t="s">
        <v>175</v>
      </c>
      <c r="D16" s="51"/>
      <c r="E16" s="50" t="s">
        <v>175</v>
      </c>
      <c r="F16" s="51"/>
      <c r="G16" s="50" t="s">
        <v>175</v>
      </c>
      <c r="H16" s="51"/>
      <c r="I16" s="50" t="s">
        <v>175</v>
      </c>
      <c r="J16" s="51"/>
      <c r="K16" s="50" t="s">
        <v>175</v>
      </c>
      <c r="L16" s="51"/>
      <c r="M16" s="50" t="s">
        <v>175</v>
      </c>
      <c r="N16" s="51"/>
    </row>
    <row r="17" spans="1:14" ht="18" customHeight="1">
      <c r="A17" s="27" t="s">
        <v>201</v>
      </c>
      <c r="B17" s="28"/>
      <c r="C17" s="27" t="s">
        <v>201</v>
      </c>
      <c r="D17" s="28"/>
      <c r="E17" s="27" t="s">
        <v>201</v>
      </c>
      <c r="F17" s="28"/>
      <c r="G17" s="27" t="s">
        <v>201</v>
      </c>
      <c r="H17" s="28"/>
      <c r="I17" s="27" t="s">
        <v>201</v>
      </c>
      <c r="J17" s="28"/>
      <c r="K17" s="26"/>
      <c r="L17" s="20"/>
      <c r="M17" s="26"/>
      <c r="N17" s="20"/>
    </row>
    <row r="18" spans="1:14" ht="18" customHeight="1">
      <c r="A18" s="19" t="s">
        <v>202</v>
      </c>
      <c r="B18" s="20"/>
      <c r="C18" s="19" t="s">
        <v>202</v>
      </c>
      <c r="D18" s="20"/>
      <c r="E18" s="19" t="s">
        <v>202</v>
      </c>
      <c r="F18" s="20"/>
      <c r="G18" s="19" t="s">
        <v>202</v>
      </c>
      <c r="H18" s="20"/>
      <c r="I18" s="19" t="s">
        <v>202</v>
      </c>
      <c r="J18" s="20"/>
      <c r="K18" s="19" t="s">
        <v>202</v>
      </c>
      <c r="L18" s="20"/>
      <c r="M18" s="19" t="s">
        <v>202</v>
      </c>
      <c r="N18" s="20"/>
    </row>
    <row r="19" spans="1:14" ht="18" customHeight="1">
      <c r="A19" s="21" t="s">
        <v>176</v>
      </c>
      <c r="B19" s="20"/>
      <c r="C19" s="21" t="s">
        <v>176</v>
      </c>
      <c r="D19" s="20"/>
      <c r="E19" s="21" t="s">
        <v>176</v>
      </c>
      <c r="F19" s="20"/>
      <c r="G19" s="21" t="s">
        <v>176</v>
      </c>
      <c r="H19" s="20"/>
      <c r="I19" s="21" t="s">
        <v>176</v>
      </c>
      <c r="J19" s="20"/>
      <c r="K19" s="21"/>
      <c r="L19" s="20"/>
      <c r="M19" s="21"/>
      <c r="N19" s="20"/>
    </row>
    <row r="20" spans="1:14" ht="18" customHeight="1">
      <c r="A20" s="56"/>
      <c r="B20" s="20"/>
      <c r="C20" s="56"/>
      <c r="D20" s="20"/>
      <c r="E20" s="56"/>
      <c r="F20" s="20"/>
      <c r="G20" s="56"/>
      <c r="H20" s="20"/>
      <c r="I20" s="56"/>
      <c r="J20" s="20"/>
      <c r="K20" s="56"/>
      <c r="L20" s="20"/>
      <c r="M20" s="56"/>
      <c r="N20" s="20"/>
    </row>
    <row r="21" spans="1:14" ht="18" customHeight="1">
      <c r="A21" s="23"/>
      <c r="B21" s="20"/>
      <c r="C21" s="22"/>
      <c r="D21" s="20"/>
      <c r="E21" s="23"/>
      <c r="F21" s="20"/>
      <c r="G21" s="22"/>
      <c r="H21" s="20"/>
      <c r="I21" s="22"/>
      <c r="J21" s="20"/>
      <c r="K21" s="22"/>
      <c r="L21" s="20"/>
      <c r="M21" s="22"/>
      <c r="N21" s="20"/>
    </row>
    <row r="22" spans="1:14" ht="18" customHeight="1">
      <c r="A22" s="25"/>
      <c r="B22" s="20"/>
      <c r="C22" s="25"/>
      <c r="D22" s="20"/>
      <c r="E22" s="25"/>
      <c r="F22" s="20"/>
      <c r="G22" s="25"/>
      <c r="H22" s="20"/>
      <c r="I22" s="25"/>
      <c r="J22" s="20"/>
      <c r="K22" s="25"/>
      <c r="L22" s="20"/>
      <c r="M22" s="25"/>
      <c r="N22" s="20"/>
    </row>
    <row r="23" spans="1:14" ht="18" customHeight="1">
      <c r="A23" s="58"/>
      <c r="B23" s="24"/>
      <c r="C23" s="58"/>
      <c r="D23" s="24"/>
      <c r="E23" s="58"/>
      <c r="F23" s="24"/>
      <c r="G23" s="58"/>
      <c r="H23" s="24"/>
      <c r="I23" s="58"/>
      <c r="J23" s="24"/>
      <c r="K23" s="58"/>
      <c r="L23" s="24"/>
      <c r="M23" s="58"/>
      <c r="N23" s="24"/>
    </row>
    <row r="24" spans="1:14" ht="18" customHeight="1">
      <c r="A24" s="2">
        <f>M15+1</f>
        <v>46216</v>
      </c>
      <c r="B24" s="3"/>
      <c r="C24" s="2">
        <f>A24+1</f>
        <v>46217</v>
      </c>
      <c r="D24" s="3"/>
      <c r="E24" s="2">
        <f>C24+1</f>
        <v>46218</v>
      </c>
      <c r="F24" s="3"/>
      <c r="G24" s="2">
        <f>E24+1</f>
        <v>46219</v>
      </c>
      <c r="H24" s="3"/>
      <c r="I24" s="2">
        <f>G24+1</f>
        <v>46220</v>
      </c>
      <c r="J24" s="3"/>
      <c r="K24" s="4">
        <f>I24+1</f>
        <v>46221</v>
      </c>
      <c r="L24" s="5"/>
      <c r="M24" s="4">
        <f>K24+1</f>
        <v>46222</v>
      </c>
      <c r="N24" s="5"/>
    </row>
    <row r="25" spans="1:14" ht="25.5" customHeight="1">
      <c r="A25" s="53" t="s">
        <v>203</v>
      </c>
      <c r="B25" s="20"/>
      <c r="C25" s="53" t="s">
        <v>204</v>
      </c>
      <c r="D25" s="20"/>
      <c r="E25" s="53" t="s">
        <v>203</v>
      </c>
      <c r="F25" s="20"/>
      <c r="G25" s="53" t="s">
        <v>203</v>
      </c>
      <c r="H25" s="20"/>
      <c r="I25" s="53" t="s">
        <v>203</v>
      </c>
      <c r="J25" s="20"/>
      <c r="K25" s="53" t="s">
        <v>203</v>
      </c>
      <c r="L25" s="20"/>
      <c r="M25" s="53" t="s">
        <v>203</v>
      </c>
      <c r="N25" s="20"/>
    </row>
    <row r="26" spans="1:14" ht="18" customHeight="1">
      <c r="A26" s="27" t="s">
        <v>178</v>
      </c>
      <c r="B26" s="20"/>
      <c r="C26" s="26" t="s">
        <v>178</v>
      </c>
      <c r="D26" s="28"/>
      <c r="E26" s="27" t="s">
        <v>178</v>
      </c>
      <c r="F26" s="20"/>
      <c r="G26" s="27" t="s">
        <v>178</v>
      </c>
      <c r="H26" s="20"/>
      <c r="I26" s="27" t="s">
        <v>178</v>
      </c>
      <c r="J26" s="20"/>
      <c r="K26" s="26"/>
      <c r="L26" s="20"/>
      <c r="M26" s="26"/>
      <c r="N26" s="20"/>
    </row>
    <row r="27" spans="1:14" ht="18" customHeight="1">
      <c r="A27" s="19" t="s">
        <v>188</v>
      </c>
      <c r="B27" s="20"/>
      <c r="C27" s="19" t="s">
        <v>188</v>
      </c>
      <c r="D27" s="20"/>
      <c r="E27" s="19" t="s">
        <v>188</v>
      </c>
      <c r="F27" s="20"/>
      <c r="G27" s="19" t="s">
        <v>188</v>
      </c>
      <c r="H27" s="20"/>
      <c r="I27" s="19" t="s">
        <v>188</v>
      </c>
      <c r="J27" s="20"/>
      <c r="K27" s="19" t="s">
        <v>188</v>
      </c>
      <c r="L27" s="20"/>
      <c r="M27" s="19" t="s">
        <v>188</v>
      </c>
      <c r="N27" s="20"/>
    </row>
    <row r="28" spans="1:14" ht="18" customHeight="1">
      <c r="A28" s="21" t="s">
        <v>202</v>
      </c>
      <c r="B28" s="20"/>
      <c r="C28" s="21" t="s">
        <v>202</v>
      </c>
      <c r="D28" s="20"/>
      <c r="E28" s="21" t="s">
        <v>202</v>
      </c>
      <c r="F28" s="20"/>
      <c r="G28" s="21" t="s">
        <v>202</v>
      </c>
      <c r="H28" s="20"/>
      <c r="I28" s="21" t="s">
        <v>202</v>
      </c>
      <c r="J28" s="20"/>
      <c r="K28" s="21"/>
      <c r="L28" s="20"/>
      <c r="M28" s="21"/>
      <c r="N28" s="20"/>
    </row>
    <row r="29" spans="1:14" ht="18" customHeight="1">
      <c r="A29" s="56"/>
      <c r="B29" s="20"/>
      <c r="C29" s="56"/>
      <c r="D29" s="20"/>
      <c r="E29" s="56"/>
      <c r="F29" s="20"/>
      <c r="G29" s="56"/>
      <c r="H29" s="20"/>
      <c r="I29" s="56"/>
      <c r="J29" s="20"/>
      <c r="K29" s="56"/>
      <c r="L29" s="20"/>
      <c r="M29" s="56"/>
      <c r="N29" s="20"/>
    </row>
    <row r="30" spans="1:14" ht="18" customHeight="1">
      <c r="A30" s="23"/>
      <c r="B30" s="20"/>
      <c r="C30" s="22"/>
      <c r="D30" s="20"/>
      <c r="E30" s="23"/>
      <c r="F30" s="20"/>
      <c r="G30" s="22"/>
      <c r="H30" s="20"/>
      <c r="I30" s="22"/>
      <c r="J30" s="20"/>
      <c r="K30" s="22"/>
      <c r="L30" s="20"/>
      <c r="M30" s="22"/>
      <c r="N30" s="20"/>
    </row>
    <row r="31" spans="1:14" ht="18" customHeight="1">
      <c r="A31" s="25"/>
      <c r="B31" s="20"/>
      <c r="C31" s="25"/>
      <c r="D31" s="20"/>
      <c r="E31" s="25"/>
      <c r="F31" s="20"/>
      <c r="G31" s="25"/>
      <c r="H31" s="20"/>
      <c r="I31" s="25"/>
      <c r="J31" s="20"/>
      <c r="K31" s="25"/>
      <c r="L31" s="20"/>
      <c r="M31" s="25"/>
      <c r="N31" s="20"/>
    </row>
    <row r="32" spans="1:14" ht="18" customHeight="1">
      <c r="A32" s="58"/>
      <c r="B32" s="24"/>
      <c r="C32" s="58"/>
      <c r="D32" s="24"/>
      <c r="E32" s="58"/>
      <c r="F32" s="24"/>
      <c r="G32" s="58"/>
      <c r="H32" s="24"/>
      <c r="I32" s="58"/>
      <c r="J32" s="24"/>
      <c r="K32" s="58"/>
      <c r="L32" s="24"/>
      <c r="M32" s="58"/>
      <c r="N32" s="24"/>
    </row>
    <row r="33" spans="1:14" ht="18" customHeight="1">
      <c r="A33" s="2">
        <f>M24+1</f>
        <v>46223</v>
      </c>
      <c r="B33" s="3"/>
      <c r="C33" s="2">
        <f>A33+1</f>
        <v>46224</v>
      </c>
      <c r="D33" s="3"/>
      <c r="E33" s="2">
        <f>C33+1</f>
        <v>46225</v>
      </c>
      <c r="F33" s="3"/>
      <c r="G33" s="2">
        <f>E33+1</f>
        <v>46226</v>
      </c>
      <c r="H33" s="3"/>
      <c r="I33" s="2">
        <f>G33+1</f>
        <v>46227</v>
      </c>
      <c r="J33" s="3"/>
      <c r="K33" s="4">
        <f>I33+1</f>
        <v>46228</v>
      </c>
      <c r="L33" s="5"/>
      <c r="M33" s="4">
        <f>K33+1</f>
        <v>46229</v>
      </c>
      <c r="N33" s="5"/>
    </row>
    <row r="34" spans="1:14" ht="18" customHeight="1">
      <c r="A34" s="29" t="s">
        <v>201</v>
      </c>
      <c r="B34" s="20"/>
      <c r="C34" s="29" t="s">
        <v>201</v>
      </c>
      <c r="D34" s="20"/>
      <c r="E34" s="29" t="s">
        <v>201</v>
      </c>
      <c r="F34" s="20"/>
      <c r="G34" s="29" t="s">
        <v>201</v>
      </c>
      <c r="H34" s="20"/>
      <c r="I34" s="29" t="s">
        <v>201</v>
      </c>
      <c r="J34" s="20"/>
      <c r="K34" s="29" t="s">
        <v>201</v>
      </c>
      <c r="L34" s="20"/>
      <c r="M34" s="29" t="s">
        <v>201</v>
      </c>
      <c r="N34" s="20"/>
    </row>
    <row r="35" spans="1:14" ht="18" customHeight="1">
      <c r="A35" s="27" t="s">
        <v>205</v>
      </c>
      <c r="B35" s="20"/>
      <c r="C35" s="27" t="s">
        <v>205</v>
      </c>
      <c r="D35" s="20"/>
      <c r="E35" s="27" t="s">
        <v>205</v>
      </c>
      <c r="F35" s="20"/>
      <c r="G35" s="27" t="s">
        <v>205</v>
      </c>
      <c r="H35" s="20"/>
      <c r="I35" s="27" t="s">
        <v>205</v>
      </c>
      <c r="J35" s="20"/>
      <c r="K35" s="26"/>
      <c r="L35" s="20"/>
      <c r="M35" s="26"/>
      <c r="N35" s="20"/>
    </row>
    <row r="36" spans="1:14" ht="18" customHeight="1">
      <c r="A36" s="19" t="s">
        <v>187</v>
      </c>
      <c r="B36" s="20"/>
      <c r="C36" s="19" t="s">
        <v>187</v>
      </c>
      <c r="D36" s="20"/>
      <c r="E36" s="19" t="s">
        <v>187</v>
      </c>
      <c r="F36" s="20"/>
      <c r="G36" s="19" t="s">
        <v>187</v>
      </c>
      <c r="H36" s="20"/>
      <c r="I36" s="19" t="s">
        <v>187</v>
      </c>
      <c r="J36" s="20"/>
      <c r="K36" s="19" t="s">
        <v>187</v>
      </c>
      <c r="L36" s="20"/>
      <c r="M36" s="19" t="s">
        <v>187</v>
      </c>
      <c r="N36" s="20"/>
    </row>
    <row r="37" spans="1:14" ht="18" customHeight="1">
      <c r="A37" s="21" t="s">
        <v>189</v>
      </c>
      <c r="B37" s="20"/>
      <c r="C37" s="21" t="s">
        <v>189</v>
      </c>
      <c r="D37" s="20"/>
      <c r="E37" s="21" t="s">
        <v>189</v>
      </c>
      <c r="F37" s="20"/>
      <c r="G37" s="21" t="s">
        <v>189</v>
      </c>
      <c r="H37" s="20"/>
      <c r="I37" s="21" t="s">
        <v>189</v>
      </c>
      <c r="J37" s="20"/>
      <c r="K37" s="30"/>
      <c r="L37" s="20"/>
      <c r="M37" s="30"/>
      <c r="N37" s="20"/>
    </row>
    <row r="38" spans="1:14" ht="18" customHeight="1">
      <c r="A38" s="56"/>
      <c r="B38" s="20"/>
      <c r="C38" s="56"/>
      <c r="D38" s="20"/>
      <c r="E38" s="56"/>
      <c r="F38" s="20"/>
      <c r="G38" s="56"/>
      <c r="H38" s="20"/>
      <c r="I38" s="56"/>
      <c r="J38" s="20"/>
      <c r="K38" s="56"/>
      <c r="L38" s="20"/>
      <c r="M38" s="56"/>
      <c r="N38" s="20"/>
    </row>
    <row r="39" spans="1:14" ht="18" customHeight="1">
      <c r="A39" s="23"/>
      <c r="B39" s="20"/>
      <c r="C39" s="22"/>
      <c r="D39" s="20"/>
      <c r="E39" s="23"/>
      <c r="F39" s="20"/>
      <c r="G39" s="22"/>
      <c r="H39" s="20"/>
      <c r="I39" s="22"/>
      <c r="J39" s="20"/>
      <c r="K39" s="22"/>
      <c r="L39" s="20"/>
      <c r="M39" s="22"/>
      <c r="N39" s="20"/>
    </row>
    <row r="40" spans="1:14" ht="18" customHeight="1">
      <c r="A40" s="25"/>
      <c r="B40" s="20"/>
      <c r="C40" s="25"/>
      <c r="D40" s="20"/>
      <c r="E40" s="25"/>
      <c r="F40" s="20"/>
      <c r="G40" s="25"/>
      <c r="H40" s="20"/>
      <c r="I40" s="25"/>
      <c r="J40" s="20"/>
      <c r="K40" s="25"/>
      <c r="L40" s="20"/>
      <c r="M40" s="25"/>
      <c r="N40" s="20"/>
    </row>
    <row r="41" spans="1:14" ht="18" customHeight="1">
      <c r="A41" s="58"/>
      <c r="B41" s="24"/>
      <c r="C41" s="58"/>
      <c r="D41" s="24"/>
      <c r="E41" s="58"/>
      <c r="F41" s="24"/>
      <c r="G41" s="58"/>
      <c r="H41" s="24"/>
      <c r="I41" s="58"/>
      <c r="J41" s="24"/>
      <c r="K41" s="58"/>
      <c r="L41" s="24"/>
      <c r="M41" s="58"/>
      <c r="N41" s="24"/>
    </row>
    <row r="42" spans="1:14" ht="18" customHeight="1">
      <c r="A42" s="2">
        <f>IF(M33="","",IF(MONTH(M33+1)&lt;&gt;MONTH($A$1),"",M33+1))</f>
        <v>46230</v>
      </c>
      <c r="B42" s="3"/>
      <c r="C42" s="2">
        <f>IF(A42="","",IF(MONTH(A42+1)&lt;&gt;MONTH($A$1),"",A42+1))</f>
        <v>46231</v>
      </c>
      <c r="D42" s="3"/>
      <c r="E42" s="2">
        <f>IF(C42="","",IF(MONTH(C42+1)&lt;&gt;MONTH($A$1),"",C42+1))</f>
        <v>46232</v>
      </c>
      <c r="F42" s="3"/>
      <c r="G42" s="2">
        <v>30</v>
      </c>
      <c r="H42" s="3"/>
      <c r="I42" s="2">
        <v>31</v>
      </c>
      <c r="J42" s="3"/>
      <c r="K42" s="4"/>
      <c r="L42" s="5"/>
      <c r="M42" s="4"/>
      <c r="N42" s="5"/>
    </row>
    <row r="43" spans="1:14" ht="18" customHeight="1">
      <c r="A43" s="29" t="s">
        <v>205</v>
      </c>
      <c r="B43" s="20"/>
      <c r="C43" s="29" t="s">
        <v>205</v>
      </c>
      <c r="D43" s="20"/>
      <c r="E43" s="29" t="s">
        <v>205</v>
      </c>
      <c r="F43" s="20"/>
      <c r="G43" s="29" t="s">
        <v>205</v>
      </c>
      <c r="H43" s="20"/>
      <c r="I43" s="29" t="s">
        <v>205</v>
      </c>
      <c r="J43" s="20"/>
      <c r="K43" s="29" t="s">
        <v>205</v>
      </c>
      <c r="L43" s="20"/>
      <c r="M43" s="29" t="s">
        <v>205</v>
      </c>
      <c r="N43" s="20"/>
    </row>
    <row r="44" spans="1:14" ht="18" customHeight="1">
      <c r="A44" s="27" t="s">
        <v>201</v>
      </c>
      <c r="B44" s="20"/>
      <c r="C44" s="27" t="s">
        <v>201</v>
      </c>
      <c r="D44" s="20"/>
      <c r="E44" s="27" t="s">
        <v>201</v>
      </c>
      <c r="F44" s="20"/>
      <c r="G44" s="27" t="s">
        <v>201</v>
      </c>
      <c r="H44" s="20"/>
      <c r="I44" s="27" t="s">
        <v>201</v>
      </c>
      <c r="J44" s="20"/>
      <c r="K44" s="26"/>
      <c r="L44" s="20"/>
      <c r="M44" s="26"/>
      <c r="N44" s="20"/>
    </row>
    <row r="45" spans="1:14" ht="18" customHeight="1">
      <c r="A45" s="19" t="s">
        <v>188</v>
      </c>
      <c r="B45" s="20"/>
      <c r="C45" s="19" t="s">
        <v>188</v>
      </c>
      <c r="D45" s="20"/>
      <c r="E45" s="19" t="s">
        <v>188</v>
      </c>
      <c r="F45" s="20"/>
      <c r="G45" s="19" t="s">
        <v>188</v>
      </c>
      <c r="H45" s="20"/>
      <c r="I45" s="19" t="s">
        <v>188</v>
      </c>
      <c r="J45" s="20"/>
      <c r="K45" s="19" t="s">
        <v>188</v>
      </c>
      <c r="L45" s="20"/>
      <c r="M45" s="19" t="s">
        <v>188</v>
      </c>
      <c r="N45" s="20"/>
    </row>
    <row r="46" spans="1:14" ht="18" customHeight="1">
      <c r="A46" s="21" t="s">
        <v>206</v>
      </c>
      <c r="B46" s="20"/>
      <c r="C46" s="21" t="s">
        <v>206</v>
      </c>
      <c r="D46" s="20"/>
      <c r="E46" s="21" t="s">
        <v>206</v>
      </c>
      <c r="F46" s="20"/>
      <c r="G46" s="21" t="s">
        <v>206</v>
      </c>
      <c r="H46" s="20"/>
      <c r="I46" s="21" t="s">
        <v>206</v>
      </c>
      <c r="J46" s="20"/>
      <c r="K46" s="30"/>
      <c r="L46" s="20"/>
      <c r="M46" s="30"/>
      <c r="N46" s="20"/>
    </row>
    <row r="47" spans="1:14" ht="18" customHeight="1">
      <c r="A47" s="56"/>
      <c r="B47" s="20"/>
      <c r="C47" s="56"/>
      <c r="D47" s="20"/>
      <c r="E47" s="56"/>
      <c r="F47" s="20"/>
      <c r="G47" s="56"/>
      <c r="H47" s="20"/>
      <c r="I47" s="56"/>
      <c r="J47" s="20"/>
      <c r="K47" s="57"/>
      <c r="L47" s="20"/>
      <c r="M47" s="57"/>
      <c r="N47" s="20"/>
    </row>
    <row r="48" spans="1:14" ht="18" customHeight="1">
      <c r="A48" s="23"/>
      <c r="B48" s="20"/>
      <c r="C48" s="22"/>
      <c r="D48" s="20"/>
      <c r="E48" s="23"/>
      <c r="F48" s="20"/>
      <c r="G48" s="22"/>
      <c r="H48" s="20"/>
      <c r="I48" s="22"/>
      <c r="J48" s="20"/>
      <c r="K48" s="22"/>
      <c r="L48" s="20"/>
      <c r="M48" s="22"/>
      <c r="N48" s="20"/>
    </row>
    <row r="49" spans="1:14" ht="18" customHeight="1">
      <c r="A49" s="25"/>
      <c r="B49" s="20"/>
      <c r="C49" s="25"/>
      <c r="D49" s="20"/>
      <c r="E49" s="25"/>
      <c r="F49" s="20"/>
      <c r="G49" s="25"/>
      <c r="H49" s="20"/>
      <c r="I49" s="25"/>
      <c r="J49" s="20"/>
      <c r="K49" s="25"/>
      <c r="L49" s="20"/>
      <c r="M49" s="25"/>
      <c r="N49" s="20"/>
    </row>
    <row r="50" spans="1:14" ht="18" customHeight="1">
      <c r="A50" s="58"/>
      <c r="B50" s="24"/>
      <c r="C50" s="58"/>
      <c r="D50" s="24"/>
      <c r="E50" s="58"/>
      <c r="F50" s="24"/>
      <c r="G50" s="58"/>
      <c r="H50" s="24"/>
      <c r="I50" s="58"/>
      <c r="J50" s="24"/>
      <c r="K50" s="58"/>
      <c r="L50" s="24"/>
      <c r="M50" s="58"/>
      <c r="N50" s="24"/>
    </row>
    <row r="51" spans="1:14" ht="18" customHeight="1">
      <c r="A51" s="2"/>
      <c r="B51" s="3"/>
      <c r="C51" s="2"/>
      <c r="D51" s="3"/>
      <c r="E51" s="46" t="s">
        <v>22</v>
      </c>
      <c r="F51" s="47"/>
      <c r="G51" s="48"/>
      <c r="H51" s="47"/>
      <c r="I51" s="47"/>
      <c r="J51" s="47"/>
      <c r="K51" s="47"/>
      <c r="L51" s="47"/>
      <c r="M51" s="47"/>
      <c r="N51" s="49"/>
    </row>
    <row r="52" spans="1:14" ht="18" customHeight="1">
      <c r="A52" s="29"/>
      <c r="B52" s="20"/>
      <c r="C52" s="44"/>
      <c r="D52" s="20"/>
      <c r="E52" s="45"/>
      <c r="F52" s="37"/>
      <c r="G52" s="37"/>
      <c r="H52" s="37"/>
      <c r="I52" s="37"/>
      <c r="J52" s="37"/>
      <c r="K52" s="37"/>
      <c r="L52" s="37"/>
      <c r="M52" s="37"/>
      <c r="N52" s="20"/>
    </row>
    <row r="53" spans="1:14" ht="18" customHeight="1">
      <c r="A53" s="27"/>
      <c r="B53" s="20"/>
      <c r="C53" s="26"/>
      <c r="D53" s="20"/>
      <c r="E53" s="45"/>
      <c r="F53" s="37"/>
      <c r="G53" s="37"/>
      <c r="H53" s="37"/>
      <c r="I53" s="37"/>
      <c r="J53" s="37"/>
      <c r="K53" s="37"/>
      <c r="L53" s="37"/>
      <c r="M53" s="37"/>
      <c r="N53" s="20"/>
    </row>
    <row r="54" spans="1:14" ht="18" customHeight="1">
      <c r="A54" s="19"/>
      <c r="B54" s="20"/>
      <c r="C54" s="35"/>
      <c r="D54" s="20"/>
      <c r="E54" s="45"/>
      <c r="F54" s="37"/>
      <c r="G54" s="37"/>
      <c r="H54" s="37"/>
      <c r="I54" s="37"/>
      <c r="J54" s="37"/>
      <c r="K54" s="37"/>
      <c r="L54" s="37"/>
      <c r="M54" s="37"/>
      <c r="N54" s="20"/>
    </row>
    <row r="55" spans="1:14" ht="18" customHeight="1">
      <c r="A55" s="21"/>
      <c r="B55" s="20"/>
      <c r="C55" s="30"/>
      <c r="D55" s="20"/>
      <c r="E55" s="6"/>
      <c r="F55" s="7"/>
      <c r="G55" s="7"/>
      <c r="H55" s="7"/>
      <c r="I55" s="7"/>
      <c r="J55" s="7"/>
      <c r="K55" s="7"/>
      <c r="L55" s="7"/>
      <c r="M55" s="7"/>
      <c r="N55" s="8"/>
    </row>
    <row r="56" spans="1:14" ht="18" customHeight="1">
      <c r="A56" s="56"/>
      <c r="B56" s="20"/>
      <c r="C56" s="57"/>
      <c r="D56" s="20"/>
      <c r="E56" s="6"/>
      <c r="F56" s="7"/>
      <c r="G56" s="7"/>
      <c r="H56" s="7"/>
      <c r="I56" s="7"/>
      <c r="J56" s="7"/>
      <c r="K56" s="7"/>
      <c r="L56" s="7"/>
      <c r="M56" s="7"/>
      <c r="N56" s="8"/>
    </row>
    <row r="57" spans="1:14" ht="18" customHeight="1">
      <c r="A57" s="23"/>
      <c r="B57" s="20"/>
      <c r="C57" s="22"/>
      <c r="D57" s="20"/>
      <c r="E57" s="6"/>
      <c r="F57" s="7"/>
      <c r="G57" s="7"/>
      <c r="H57" s="7"/>
      <c r="I57" s="7"/>
      <c r="J57" s="7"/>
      <c r="K57" s="7"/>
      <c r="L57" s="7"/>
      <c r="M57" s="7"/>
      <c r="N57" s="8"/>
    </row>
    <row r="58" spans="1:14" ht="18" customHeight="1">
      <c r="A58" s="25"/>
      <c r="B58" s="20"/>
      <c r="C58" s="31"/>
      <c r="D58" s="24"/>
      <c r="E58" s="32" t="s">
        <v>23</v>
      </c>
      <c r="F58" s="33"/>
      <c r="G58" s="33"/>
      <c r="H58" s="33"/>
      <c r="I58" s="34" t="str">
        <f>HYPERLINK("https://www.vertex42.com/calendars/academic-calendar.html","https://www.vertex42.com/calendars/academic-calendar.html")</f>
        <v>https://www.vertex42.com/calendars/academic-calendar.html</v>
      </c>
      <c r="J58" s="33"/>
      <c r="K58" s="33"/>
      <c r="L58" s="33"/>
      <c r="M58" s="33"/>
      <c r="N58" s="24"/>
    </row>
  </sheetData>
  <mergeCells count="319">
    <mergeCell ref="A46:B46"/>
    <mergeCell ref="C46:D46"/>
    <mergeCell ref="E46:F46"/>
    <mergeCell ref="G46:H46"/>
    <mergeCell ref="I46:J46"/>
    <mergeCell ref="K46:L46"/>
    <mergeCell ref="M46:N46"/>
    <mergeCell ref="A34:B34"/>
    <mergeCell ref="C35:D35"/>
    <mergeCell ref="E35:F35"/>
    <mergeCell ref="G35:H35"/>
    <mergeCell ref="I35:J35"/>
    <mergeCell ref="K35:L35"/>
    <mergeCell ref="M35:N35"/>
    <mergeCell ref="A35:B35"/>
    <mergeCell ref="C36:D36"/>
    <mergeCell ref="E36:F36"/>
    <mergeCell ref="G36:H36"/>
    <mergeCell ref="I36:J36"/>
    <mergeCell ref="K36:L36"/>
    <mergeCell ref="M36:N36"/>
    <mergeCell ref="A44:B44"/>
    <mergeCell ref="C44:D44"/>
    <mergeCell ref="E44:F44"/>
    <mergeCell ref="G44:H44"/>
    <mergeCell ref="I44:J44"/>
    <mergeCell ref="K44:L44"/>
    <mergeCell ref="M44:N44"/>
    <mergeCell ref="A45:B45"/>
    <mergeCell ref="C45:D45"/>
    <mergeCell ref="E45:F45"/>
    <mergeCell ref="G45:H45"/>
    <mergeCell ref="I45:J45"/>
    <mergeCell ref="K45:L45"/>
    <mergeCell ref="M45:N45"/>
    <mergeCell ref="G38:H38"/>
    <mergeCell ref="I38:J38"/>
    <mergeCell ref="A40:B40"/>
    <mergeCell ref="C40:D40"/>
    <mergeCell ref="E40:F40"/>
    <mergeCell ref="G40:H40"/>
    <mergeCell ref="I40:J40"/>
    <mergeCell ref="K41:L41"/>
    <mergeCell ref="M41:N41"/>
    <mergeCell ref="K40:L40"/>
    <mergeCell ref="M40:N40"/>
    <mergeCell ref="A39:B39"/>
    <mergeCell ref="K38:L38"/>
    <mergeCell ref="M38:N38"/>
    <mergeCell ref="A38:B38"/>
    <mergeCell ref="C38:D38"/>
    <mergeCell ref="E38:F38"/>
    <mergeCell ref="G39:H39"/>
    <mergeCell ref="I39:J39"/>
    <mergeCell ref="K39:L39"/>
    <mergeCell ref="M39:N39"/>
    <mergeCell ref="A41:B41"/>
    <mergeCell ref="C41:D41"/>
    <mergeCell ref="E41:F41"/>
    <mergeCell ref="I34:J34"/>
    <mergeCell ref="K34:L34"/>
    <mergeCell ref="M34:N34"/>
    <mergeCell ref="E31:F31"/>
    <mergeCell ref="G31:H31"/>
    <mergeCell ref="A32:B32"/>
    <mergeCell ref="C32:D32"/>
    <mergeCell ref="E32:F32"/>
    <mergeCell ref="G32:H32"/>
    <mergeCell ref="G34:H34"/>
    <mergeCell ref="I31:J31"/>
    <mergeCell ref="E21:F21"/>
    <mergeCell ref="G21:H21"/>
    <mergeCell ref="I21:J21"/>
    <mergeCell ref="K21:L21"/>
    <mergeCell ref="M21:N21"/>
    <mergeCell ref="A16:B16"/>
    <mergeCell ref="C16:D16"/>
    <mergeCell ref="E16:F16"/>
    <mergeCell ref="G16:H16"/>
    <mergeCell ref="I16:J16"/>
    <mergeCell ref="K16:L16"/>
    <mergeCell ref="M16:N16"/>
    <mergeCell ref="A17:B17"/>
    <mergeCell ref="C17:D17"/>
    <mergeCell ref="E17:F17"/>
    <mergeCell ref="G17:H17"/>
    <mergeCell ref="I17:J17"/>
    <mergeCell ref="K17:L17"/>
    <mergeCell ref="M17:N17"/>
    <mergeCell ref="I19:J19"/>
    <mergeCell ref="K19:L19"/>
    <mergeCell ref="M19:N19"/>
    <mergeCell ref="E20:F20"/>
    <mergeCell ref="G20:H20"/>
    <mergeCell ref="I20:J20"/>
    <mergeCell ref="K20:L20"/>
    <mergeCell ref="M20:N20"/>
    <mergeCell ref="E30:F30"/>
    <mergeCell ref="A22:B22"/>
    <mergeCell ref="C22:D22"/>
    <mergeCell ref="E22:F22"/>
    <mergeCell ref="G22:H22"/>
    <mergeCell ref="I22:J22"/>
    <mergeCell ref="K22:L22"/>
    <mergeCell ref="M22:N22"/>
    <mergeCell ref="A23:B23"/>
    <mergeCell ref="C23:D23"/>
    <mergeCell ref="E23:F23"/>
    <mergeCell ref="G23:H23"/>
    <mergeCell ref="I23:J23"/>
    <mergeCell ref="K23:L23"/>
    <mergeCell ref="M23:N23"/>
    <mergeCell ref="M30:N30"/>
    <mergeCell ref="I25:J25"/>
    <mergeCell ref="A21:B21"/>
    <mergeCell ref="C21:D21"/>
    <mergeCell ref="A26:B26"/>
    <mergeCell ref="E26:F26"/>
    <mergeCell ref="A36:B36"/>
    <mergeCell ref="C37:D37"/>
    <mergeCell ref="E37:F37"/>
    <mergeCell ref="G37:H37"/>
    <mergeCell ref="I37:J37"/>
    <mergeCell ref="K37:L37"/>
    <mergeCell ref="M37:N37"/>
    <mergeCell ref="A37:B37"/>
    <mergeCell ref="A27:B27"/>
    <mergeCell ref="C27:D27"/>
    <mergeCell ref="E27:F27"/>
    <mergeCell ref="G27:H27"/>
    <mergeCell ref="I27:J27"/>
    <mergeCell ref="K27:L27"/>
    <mergeCell ref="M27:N27"/>
    <mergeCell ref="K31:L31"/>
    <mergeCell ref="I32:J32"/>
    <mergeCell ref="K32:L32"/>
    <mergeCell ref="M32:N32"/>
    <mergeCell ref="A31:B31"/>
    <mergeCell ref="C31:D31"/>
    <mergeCell ref="M31:N31"/>
    <mergeCell ref="C34:D34"/>
    <mergeCell ref="E34:F34"/>
    <mergeCell ref="M10:N10"/>
    <mergeCell ref="A9:B9"/>
    <mergeCell ref="C9:D9"/>
    <mergeCell ref="E9:F9"/>
    <mergeCell ref="G9:H9"/>
    <mergeCell ref="I9:J9"/>
    <mergeCell ref="K9:L9"/>
    <mergeCell ref="M9:N9"/>
    <mergeCell ref="E28:F28"/>
    <mergeCell ref="G28:H28"/>
    <mergeCell ref="I28:J28"/>
    <mergeCell ref="K28:L28"/>
    <mergeCell ref="M28:N28"/>
    <mergeCell ref="A18:B18"/>
    <mergeCell ref="C18:D18"/>
    <mergeCell ref="E18:F18"/>
    <mergeCell ref="G18:H18"/>
    <mergeCell ref="I18:J18"/>
    <mergeCell ref="K18:L18"/>
    <mergeCell ref="M18:N18"/>
    <mergeCell ref="A19:B19"/>
    <mergeCell ref="C19:D19"/>
    <mergeCell ref="E19:F19"/>
    <mergeCell ref="G19:H19"/>
    <mergeCell ref="I3:J3"/>
    <mergeCell ref="K3:L3"/>
    <mergeCell ref="A1:B1"/>
    <mergeCell ref="K1:N1"/>
    <mergeCell ref="A2:N2"/>
    <mergeCell ref="A3:B3"/>
    <mergeCell ref="C3:D3"/>
    <mergeCell ref="C5:D5"/>
    <mergeCell ref="E5:F5"/>
    <mergeCell ref="G5:H5"/>
    <mergeCell ref="I5:J5"/>
    <mergeCell ref="E3:F3"/>
    <mergeCell ref="G3:H3"/>
    <mergeCell ref="K5:L5"/>
    <mergeCell ref="M5:N5"/>
    <mergeCell ref="M3:N3"/>
    <mergeCell ref="A4:N4"/>
    <mergeCell ref="A5:B5"/>
    <mergeCell ref="A55:B55"/>
    <mergeCell ref="C55:D55"/>
    <mergeCell ref="A56:B56"/>
    <mergeCell ref="C56:D56"/>
    <mergeCell ref="C53:D53"/>
    <mergeCell ref="E53:N53"/>
    <mergeCell ref="A57:B57"/>
    <mergeCell ref="C57:D57"/>
    <mergeCell ref="A58:B58"/>
    <mergeCell ref="C58:D58"/>
    <mergeCell ref="E58:H58"/>
    <mergeCell ref="I58:N58"/>
    <mergeCell ref="A53:B53"/>
    <mergeCell ref="E54:N54"/>
    <mergeCell ref="A54:B54"/>
    <mergeCell ref="C54:D54"/>
    <mergeCell ref="C39:D39"/>
    <mergeCell ref="E39:F39"/>
    <mergeCell ref="C49:D49"/>
    <mergeCell ref="E49:F49"/>
    <mergeCell ref="G49:H49"/>
    <mergeCell ref="I49:J49"/>
    <mergeCell ref="K49:L49"/>
    <mergeCell ref="M49:N49"/>
    <mergeCell ref="A50:B50"/>
    <mergeCell ref="C50:D50"/>
    <mergeCell ref="E50:F50"/>
    <mergeCell ref="G50:H50"/>
    <mergeCell ref="I50:J50"/>
    <mergeCell ref="K50:L50"/>
    <mergeCell ref="M50:N50"/>
    <mergeCell ref="A43:B43"/>
    <mergeCell ref="C43:D43"/>
    <mergeCell ref="E43:F43"/>
    <mergeCell ref="G43:H43"/>
    <mergeCell ref="I43:J43"/>
    <mergeCell ref="K43:L43"/>
    <mergeCell ref="M43:N43"/>
    <mergeCell ref="G41:H41"/>
    <mergeCell ref="I41:J41"/>
    <mergeCell ref="E51:F51"/>
    <mergeCell ref="G51:N51"/>
    <mergeCell ref="A52:B52"/>
    <mergeCell ref="C52:D52"/>
    <mergeCell ref="E52:N52"/>
    <mergeCell ref="A47:B47"/>
    <mergeCell ref="C47:D47"/>
    <mergeCell ref="E47:F47"/>
    <mergeCell ref="G47:H47"/>
    <mergeCell ref="I47:J47"/>
    <mergeCell ref="K47:L47"/>
    <mergeCell ref="M47:N47"/>
    <mergeCell ref="A48:B48"/>
    <mergeCell ref="C48:D48"/>
    <mergeCell ref="E48:F48"/>
    <mergeCell ref="G48:H48"/>
    <mergeCell ref="I48:J48"/>
    <mergeCell ref="K48:L48"/>
    <mergeCell ref="M48:N48"/>
    <mergeCell ref="A49:B49"/>
    <mergeCell ref="G26:H26"/>
    <mergeCell ref="I26:J26"/>
    <mergeCell ref="K26:L26"/>
    <mergeCell ref="M26:N26"/>
    <mergeCell ref="A30:B30"/>
    <mergeCell ref="C30:D30"/>
    <mergeCell ref="A29:B29"/>
    <mergeCell ref="C29:D29"/>
    <mergeCell ref="E29:F29"/>
    <mergeCell ref="G29:H29"/>
    <mergeCell ref="I29:J29"/>
    <mergeCell ref="K29:L29"/>
    <mergeCell ref="M29:N29"/>
    <mergeCell ref="G30:H30"/>
    <mergeCell ref="I30:J30"/>
    <mergeCell ref="K30:L30"/>
    <mergeCell ref="C26:D26"/>
    <mergeCell ref="C28:D28"/>
    <mergeCell ref="A28:B28"/>
    <mergeCell ref="A10:B10"/>
    <mergeCell ref="C10:D10"/>
    <mergeCell ref="E10:F10"/>
    <mergeCell ref="A14:B14"/>
    <mergeCell ref="C14:D14"/>
    <mergeCell ref="E14:F14"/>
    <mergeCell ref="G14:H14"/>
    <mergeCell ref="I14:J14"/>
    <mergeCell ref="K14:L14"/>
    <mergeCell ref="G10:H10"/>
    <mergeCell ref="I10:J10"/>
    <mergeCell ref="K10:L10"/>
    <mergeCell ref="A11:B11"/>
    <mergeCell ref="C11:D11"/>
    <mergeCell ref="E11:F11"/>
    <mergeCell ref="G11:H11"/>
    <mergeCell ref="I11:J11"/>
    <mergeCell ref="K11:L11"/>
    <mergeCell ref="A7:B7"/>
    <mergeCell ref="C7:D7"/>
    <mergeCell ref="E7:F7"/>
    <mergeCell ref="G7:H7"/>
    <mergeCell ref="I7:J7"/>
    <mergeCell ref="K7:L7"/>
    <mergeCell ref="M7:N7"/>
    <mergeCell ref="A8:B8"/>
    <mergeCell ref="C8:D8"/>
    <mergeCell ref="E8:F8"/>
    <mergeCell ref="G8:H8"/>
    <mergeCell ref="I8:J8"/>
    <mergeCell ref="K8:L8"/>
    <mergeCell ref="M8:N8"/>
    <mergeCell ref="M14:N14"/>
    <mergeCell ref="A25:B25"/>
    <mergeCell ref="M11:N11"/>
    <mergeCell ref="A12:B12"/>
    <mergeCell ref="C12:D12"/>
    <mergeCell ref="E12:F12"/>
    <mergeCell ref="G12:H12"/>
    <mergeCell ref="I12:J12"/>
    <mergeCell ref="K12:L12"/>
    <mergeCell ref="M12:N12"/>
    <mergeCell ref="A13:B13"/>
    <mergeCell ref="C13:D13"/>
    <mergeCell ref="E13:F13"/>
    <mergeCell ref="G13:H13"/>
    <mergeCell ref="I13:J13"/>
    <mergeCell ref="K13:L13"/>
    <mergeCell ref="M13:N13"/>
    <mergeCell ref="G25:H25"/>
    <mergeCell ref="K25:L25"/>
    <mergeCell ref="M25:N25"/>
    <mergeCell ref="C25:D25"/>
    <mergeCell ref="E25:F25"/>
    <mergeCell ref="A20:B20"/>
    <mergeCell ref="C20:D20"/>
  </mergeCells>
  <printOptions horizontalCentered="1" gridLines="1"/>
  <pageMargins left="0.5" right="0.5" top="0.25" bottom="0.25" header="0" footer="0"/>
  <pageSetup scale="79" pageOrder="overThenDown" orientation="portrait" cellComments="atEnd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  <pageSetUpPr fitToPage="1"/>
  </sheetPr>
  <dimension ref="A1:N58"/>
  <sheetViews>
    <sheetView showGridLines="0" topLeftCell="A19" workbookViewId="0">
      <selection activeCell="N15" sqref="N15"/>
    </sheetView>
  </sheetViews>
  <sheetFormatPr defaultColWidth="12.5703125" defaultRowHeight="12.75" customHeight="1"/>
  <cols>
    <col min="1" max="1" width="3.85546875" customWidth="1"/>
    <col min="2" max="2" width="13.42578125" customWidth="1"/>
    <col min="3" max="3" width="3.85546875" customWidth="1"/>
    <col min="4" max="4" width="13.42578125" customWidth="1"/>
    <col min="5" max="5" width="3.85546875" customWidth="1"/>
    <col min="6" max="6" width="13.42578125" customWidth="1"/>
    <col min="7" max="7" width="3.85546875" customWidth="1"/>
    <col min="8" max="8" width="13.42578125" customWidth="1"/>
    <col min="9" max="9" width="3.85546875" customWidth="1"/>
    <col min="10" max="10" width="15.42578125" customWidth="1"/>
    <col min="11" max="11" width="3.85546875" customWidth="1"/>
    <col min="12" max="12" width="13.42578125" customWidth="1"/>
    <col min="13" max="13" width="3.85546875" customWidth="1"/>
    <col min="14" max="14" width="13.42578125" customWidth="1"/>
  </cols>
  <sheetData>
    <row r="1" spans="1:14" ht="18" customHeight="1">
      <c r="A1" s="36">
        <f>EDATE('©'!A17,37)</f>
        <v>46235</v>
      </c>
      <c r="B1" s="37"/>
      <c r="C1" s="1"/>
      <c r="D1" s="1"/>
      <c r="E1" s="1"/>
      <c r="F1" s="1"/>
      <c r="G1" s="1"/>
      <c r="H1" s="1"/>
      <c r="I1" s="1"/>
      <c r="J1" s="1"/>
      <c r="K1" s="38" t="s">
        <v>0</v>
      </c>
      <c r="L1" s="37"/>
      <c r="M1" s="37"/>
      <c r="N1" s="37"/>
    </row>
    <row r="2" spans="1:14" ht="18" customHeight="1">
      <c r="A2" s="39" t="s">
        <v>166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1:14" ht="18" customHeight="1">
      <c r="A3" s="29" t="s">
        <v>167</v>
      </c>
      <c r="B3" s="37"/>
      <c r="C3" s="27" t="s">
        <v>168</v>
      </c>
      <c r="D3" s="37"/>
      <c r="E3" s="19" t="s">
        <v>169</v>
      </c>
      <c r="F3" s="37"/>
      <c r="G3" s="21" t="s">
        <v>170</v>
      </c>
      <c r="H3" s="37"/>
      <c r="I3" s="56" t="s">
        <v>171</v>
      </c>
      <c r="J3" s="37"/>
      <c r="K3" s="23" t="s">
        <v>172</v>
      </c>
      <c r="L3" s="37"/>
      <c r="M3" s="25" t="s">
        <v>173</v>
      </c>
      <c r="N3" s="37"/>
    </row>
    <row r="4" spans="1:14" ht="69" customHeight="1">
      <c r="A4" s="42" t="str">
        <f>UPPER(TEXT(A1,"mmmm yyyy"))</f>
        <v>AUGUST 2026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</row>
    <row r="5" spans="1:14" ht="18" customHeight="1">
      <c r="A5" s="40">
        <f>A15</f>
        <v>46237</v>
      </c>
      <c r="B5" s="41"/>
      <c r="C5" s="40">
        <f>C15</f>
        <v>46238</v>
      </c>
      <c r="D5" s="41"/>
      <c r="E5" s="40">
        <f>E15</f>
        <v>46239</v>
      </c>
      <c r="F5" s="41"/>
      <c r="G5" s="40">
        <f>G15</f>
        <v>46240</v>
      </c>
      <c r="H5" s="41"/>
      <c r="I5" s="40">
        <f>I15</f>
        <v>46241</v>
      </c>
      <c r="J5" s="41"/>
      <c r="K5" s="40">
        <f>K15</f>
        <v>46242</v>
      </c>
      <c r="L5" s="41"/>
      <c r="M5" s="40">
        <f>M15</f>
        <v>46243</v>
      </c>
      <c r="N5" s="41"/>
    </row>
    <row r="6" spans="1:14" ht="18" customHeight="1">
      <c r="A6" s="2" t="str">
        <f>IF(WEEKDAY($A$1,1)=startday,$A$1,"")</f>
        <v/>
      </c>
      <c r="B6" s="3"/>
      <c r="C6" s="2" t="str">
        <f>IF(A6="",IF(WEEKDAY($A$1,1)=MOD(startday,7)+1,$A$1,""),A6+1)</f>
        <v/>
      </c>
      <c r="D6" s="3"/>
      <c r="E6" s="2" t="str">
        <f>IF(C6="",IF(WEEKDAY($A$1,1)=MOD(startday,7)+2,$A$1,""),C6+1)</f>
        <v/>
      </c>
      <c r="F6" s="3"/>
      <c r="G6" s="2" t="str">
        <f>IF(E6="",IF(WEEKDAY($A$1,1)=MOD(startday,7)+3,$A$1,""),E6+1)</f>
        <v/>
      </c>
      <c r="H6" s="3"/>
      <c r="I6" s="2" t="str">
        <f>IF(G6="",IF(WEEKDAY($A$1,1)=MOD(startday,7)+4,$A$1,""),G6+1)</f>
        <v/>
      </c>
      <c r="J6" s="3"/>
      <c r="K6" s="4">
        <f>IF(I6="",IF(WEEKDAY($A$1,1)=MOD(startday,7)+5,$A$1,""),I6+1)</f>
        <v>46235</v>
      </c>
      <c r="L6" s="5"/>
      <c r="M6" s="4">
        <f>IF(K6="",IF(WEEKDAY($A$1,1)=MOD(startday+5,7)+1,$A$1,""),K6+1)</f>
        <v>46236</v>
      </c>
      <c r="N6" s="5"/>
    </row>
    <row r="7" spans="1:14" ht="18" customHeight="1">
      <c r="A7" s="29" t="s">
        <v>205</v>
      </c>
      <c r="B7" s="20"/>
      <c r="C7" s="29" t="s">
        <v>205</v>
      </c>
      <c r="D7" s="20"/>
      <c r="E7" s="29" t="s">
        <v>205</v>
      </c>
      <c r="F7" s="20"/>
      <c r="G7" s="29" t="s">
        <v>205</v>
      </c>
      <c r="H7" s="20"/>
      <c r="I7" s="29" t="s">
        <v>205</v>
      </c>
      <c r="J7" s="20"/>
      <c r="K7" s="29" t="s">
        <v>205</v>
      </c>
      <c r="L7" s="20"/>
      <c r="M7" s="29" t="s">
        <v>205</v>
      </c>
      <c r="N7" s="20"/>
    </row>
    <row r="8" spans="1:14" ht="18" customHeight="1">
      <c r="A8" s="27" t="s">
        <v>201</v>
      </c>
      <c r="B8" s="20"/>
      <c r="C8" s="27" t="s">
        <v>201</v>
      </c>
      <c r="D8" s="20"/>
      <c r="E8" s="27" t="s">
        <v>201</v>
      </c>
      <c r="F8" s="20"/>
      <c r="G8" s="27" t="s">
        <v>201</v>
      </c>
      <c r="H8" s="20"/>
      <c r="I8" s="27" t="s">
        <v>201</v>
      </c>
      <c r="J8" s="20"/>
      <c r="K8" s="26"/>
      <c r="L8" s="20"/>
      <c r="M8" s="26"/>
      <c r="N8" s="20"/>
    </row>
    <row r="9" spans="1:14" ht="18" customHeight="1">
      <c r="A9" s="19" t="s">
        <v>188</v>
      </c>
      <c r="B9" s="20"/>
      <c r="C9" s="19" t="s">
        <v>188</v>
      </c>
      <c r="D9" s="20"/>
      <c r="E9" s="19" t="s">
        <v>188</v>
      </c>
      <c r="F9" s="20"/>
      <c r="G9" s="19" t="s">
        <v>188</v>
      </c>
      <c r="H9" s="20"/>
      <c r="I9" s="19" t="s">
        <v>188</v>
      </c>
      <c r="J9" s="20"/>
      <c r="K9" s="19" t="s">
        <v>188</v>
      </c>
      <c r="L9" s="20"/>
      <c r="M9" s="19" t="s">
        <v>188</v>
      </c>
      <c r="N9" s="20"/>
    </row>
    <row r="10" spans="1:14" ht="18" customHeight="1">
      <c r="A10" s="21" t="s">
        <v>206</v>
      </c>
      <c r="B10" s="20"/>
      <c r="C10" s="21" t="s">
        <v>206</v>
      </c>
      <c r="D10" s="20"/>
      <c r="E10" s="21" t="s">
        <v>206</v>
      </c>
      <c r="F10" s="20"/>
      <c r="G10" s="21" t="s">
        <v>206</v>
      </c>
      <c r="H10" s="20"/>
      <c r="I10" s="21" t="s">
        <v>206</v>
      </c>
      <c r="J10" s="20"/>
      <c r="K10" s="30"/>
      <c r="L10" s="20"/>
      <c r="M10" s="30"/>
      <c r="N10" s="20"/>
    </row>
    <row r="11" spans="1:14" ht="18" customHeight="1">
      <c r="A11" s="56"/>
      <c r="B11" s="20"/>
      <c r="C11" s="57"/>
      <c r="D11" s="20"/>
      <c r="E11" s="56"/>
      <c r="F11" s="20"/>
      <c r="G11" s="56"/>
      <c r="H11" s="20"/>
      <c r="I11" s="56"/>
      <c r="J11" s="20"/>
      <c r="K11" s="56"/>
      <c r="L11" s="20"/>
      <c r="M11" s="56"/>
      <c r="N11" s="20"/>
    </row>
    <row r="12" spans="1:14" ht="18" customHeight="1">
      <c r="A12" s="23"/>
      <c r="B12" s="20"/>
      <c r="C12" s="22"/>
      <c r="D12" s="20"/>
      <c r="E12" s="23"/>
      <c r="F12" s="20"/>
      <c r="G12" s="22"/>
      <c r="H12" s="20"/>
      <c r="I12" s="22"/>
      <c r="J12" s="20"/>
      <c r="K12" s="22"/>
      <c r="L12" s="20"/>
      <c r="M12" s="22"/>
      <c r="N12" s="20"/>
    </row>
    <row r="13" spans="1:14" ht="18" customHeight="1">
      <c r="A13" s="25"/>
      <c r="B13" s="20"/>
      <c r="C13" s="25"/>
      <c r="D13" s="20"/>
      <c r="E13" s="25"/>
      <c r="F13" s="20"/>
      <c r="G13" s="25"/>
      <c r="H13" s="20"/>
      <c r="I13" s="25"/>
      <c r="J13" s="20"/>
      <c r="K13" s="25"/>
      <c r="L13" s="20"/>
      <c r="M13" s="25"/>
      <c r="N13" s="20"/>
    </row>
    <row r="14" spans="1:14" ht="18" customHeight="1">
      <c r="A14" s="58"/>
      <c r="B14" s="24"/>
      <c r="C14" s="58"/>
      <c r="D14" s="24"/>
      <c r="E14" s="58"/>
      <c r="F14" s="24"/>
      <c r="G14" s="58"/>
      <c r="H14" s="24"/>
      <c r="I14" s="58"/>
      <c r="J14" s="24"/>
      <c r="K14" s="58"/>
      <c r="L14" s="24"/>
      <c r="M14" s="58"/>
      <c r="N14" s="24"/>
    </row>
    <row r="15" spans="1:14" ht="18" customHeight="1">
      <c r="A15" s="2">
        <f>M6+1</f>
        <v>46237</v>
      </c>
      <c r="B15" s="3"/>
      <c r="C15" s="2">
        <f>A15+1</f>
        <v>46238</v>
      </c>
      <c r="D15" s="3"/>
      <c r="E15" s="2">
        <f>C15+1</f>
        <v>46239</v>
      </c>
      <c r="F15" s="3"/>
      <c r="G15" s="2">
        <f>E15+1</f>
        <v>46240</v>
      </c>
      <c r="H15" s="3"/>
      <c r="I15" s="2">
        <f>G15+1</f>
        <v>46241</v>
      </c>
      <c r="J15" s="3"/>
      <c r="K15" s="4">
        <f>I15+1</f>
        <v>46242</v>
      </c>
      <c r="L15" s="5"/>
      <c r="M15" s="4">
        <f>K15+1</f>
        <v>46243</v>
      </c>
      <c r="N15" s="5"/>
    </row>
    <row r="16" spans="1:14" ht="18" customHeight="1">
      <c r="A16" s="29" t="s">
        <v>174</v>
      </c>
      <c r="B16" s="20"/>
      <c r="C16" s="29" t="s">
        <v>174</v>
      </c>
      <c r="D16" s="20"/>
      <c r="E16" s="29" t="s">
        <v>174</v>
      </c>
      <c r="F16" s="20"/>
      <c r="G16" s="29" t="s">
        <v>174</v>
      </c>
      <c r="H16" s="20"/>
      <c r="I16" s="29" t="s">
        <v>174</v>
      </c>
      <c r="J16" s="20"/>
      <c r="K16" s="29" t="s">
        <v>174</v>
      </c>
      <c r="L16" s="20"/>
      <c r="M16" s="29" t="s">
        <v>174</v>
      </c>
      <c r="N16" s="20"/>
    </row>
    <row r="17" spans="1:14" ht="18" customHeight="1">
      <c r="A17" s="27" t="s">
        <v>175</v>
      </c>
      <c r="B17" s="20"/>
      <c r="C17" s="27" t="s">
        <v>175</v>
      </c>
      <c r="D17" s="20"/>
      <c r="E17" s="27" t="s">
        <v>175</v>
      </c>
      <c r="F17" s="20"/>
      <c r="G17" s="27" t="s">
        <v>175</v>
      </c>
      <c r="H17" s="20"/>
      <c r="I17" s="27" t="s">
        <v>175</v>
      </c>
      <c r="J17" s="20"/>
      <c r="K17" s="27"/>
      <c r="L17" s="20"/>
      <c r="M17" s="27"/>
      <c r="N17" s="20"/>
    </row>
    <row r="18" spans="1:14" ht="18" customHeight="1">
      <c r="A18" s="19" t="s">
        <v>176</v>
      </c>
      <c r="B18" s="20"/>
      <c r="C18" s="19" t="s">
        <v>176</v>
      </c>
      <c r="D18" s="20"/>
      <c r="E18" s="19" t="s">
        <v>176</v>
      </c>
      <c r="F18" s="20"/>
      <c r="G18" s="19" t="s">
        <v>176</v>
      </c>
      <c r="H18" s="20"/>
      <c r="I18" s="19" t="s">
        <v>176</v>
      </c>
      <c r="J18" s="20"/>
      <c r="K18" s="19" t="s">
        <v>176</v>
      </c>
      <c r="L18" s="20"/>
      <c r="M18" s="19" t="s">
        <v>176</v>
      </c>
      <c r="N18" s="20"/>
    </row>
    <row r="19" spans="1:14" ht="18" customHeight="1">
      <c r="A19" s="21" t="s">
        <v>177</v>
      </c>
      <c r="B19" s="20"/>
      <c r="C19" s="21" t="s">
        <v>177</v>
      </c>
      <c r="D19" s="20"/>
      <c r="E19" s="21" t="s">
        <v>177</v>
      </c>
      <c r="F19" s="20"/>
      <c r="G19" s="21" t="s">
        <v>177</v>
      </c>
      <c r="H19" s="20"/>
      <c r="I19" s="21" t="s">
        <v>177</v>
      </c>
      <c r="J19" s="20"/>
      <c r="K19" s="21"/>
      <c r="L19" s="20"/>
      <c r="M19" s="21"/>
      <c r="N19" s="20"/>
    </row>
    <row r="20" spans="1:14" ht="18" customHeight="1">
      <c r="A20" s="56"/>
      <c r="B20" s="20"/>
      <c r="C20" s="56"/>
      <c r="D20" s="20"/>
      <c r="E20" s="56"/>
      <c r="F20" s="20"/>
      <c r="G20" s="56"/>
      <c r="H20" s="20"/>
      <c r="I20" s="56"/>
      <c r="J20" s="20"/>
      <c r="K20" s="56"/>
      <c r="L20" s="20"/>
      <c r="M20" s="56"/>
      <c r="N20" s="20"/>
    </row>
    <row r="21" spans="1:14" ht="18" customHeight="1">
      <c r="A21" s="23"/>
      <c r="B21" s="20"/>
      <c r="C21" s="22"/>
      <c r="D21" s="20"/>
      <c r="E21" s="23"/>
      <c r="F21" s="20"/>
      <c r="G21" s="22"/>
      <c r="H21" s="20"/>
      <c r="I21" s="22"/>
      <c r="J21" s="20"/>
      <c r="K21" s="22"/>
      <c r="L21" s="20"/>
      <c r="M21" s="22"/>
      <c r="N21" s="20"/>
    </row>
    <row r="22" spans="1:14" ht="18" customHeight="1">
      <c r="A22" s="25"/>
      <c r="B22" s="20"/>
      <c r="C22" s="25"/>
      <c r="D22" s="20"/>
      <c r="E22" s="25"/>
      <c r="F22" s="20"/>
      <c r="G22" s="25"/>
      <c r="H22" s="20"/>
      <c r="I22" s="25"/>
      <c r="J22" s="20"/>
      <c r="K22" s="25"/>
      <c r="L22" s="20"/>
      <c r="M22" s="25"/>
      <c r="N22" s="20"/>
    </row>
    <row r="23" spans="1:14" ht="18" customHeight="1">
      <c r="A23" s="58"/>
      <c r="B23" s="24"/>
      <c r="C23" s="58"/>
      <c r="D23" s="24"/>
      <c r="E23" s="58"/>
      <c r="F23" s="24"/>
      <c r="G23" s="58"/>
      <c r="H23" s="24"/>
      <c r="I23" s="58"/>
      <c r="J23" s="24"/>
      <c r="K23" s="58"/>
      <c r="L23" s="24"/>
      <c r="M23" s="58"/>
      <c r="N23" s="24"/>
    </row>
    <row r="24" spans="1:14" ht="18" customHeight="1">
      <c r="A24" s="2">
        <f>M15+1</f>
        <v>46244</v>
      </c>
      <c r="B24" s="3"/>
      <c r="C24" s="2">
        <f>A24+1</f>
        <v>46245</v>
      </c>
      <c r="D24" s="3"/>
      <c r="E24" s="2">
        <f>C24+1</f>
        <v>46246</v>
      </c>
      <c r="F24" s="3"/>
      <c r="G24" s="2">
        <f>E24+1</f>
        <v>46247</v>
      </c>
      <c r="H24" s="3"/>
      <c r="I24" s="2">
        <f>G24+1</f>
        <v>46248</v>
      </c>
      <c r="J24" s="3"/>
      <c r="K24" s="4">
        <f>I24+1</f>
        <v>46249</v>
      </c>
      <c r="L24" s="5"/>
      <c r="M24" s="4">
        <f>K24+1</f>
        <v>46250</v>
      </c>
      <c r="N24" s="5"/>
    </row>
    <row r="25" spans="1:14" ht="18" customHeight="1">
      <c r="A25" s="29" t="s">
        <v>178</v>
      </c>
      <c r="B25" s="20"/>
      <c r="C25" s="29" t="s">
        <v>178</v>
      </c>
      <c r="D25" s="20"/>
      <c r="E25" s="29" t="s">
        <v>178</v>
      </c>
      <c r="F25" s="20"/>
      <c r="G25" s="29" t="s">
        <v>178</v>
      </c>
      <c r="H25" s="20"/>
      <c r="I25" s="29" t="s">
        <v>178</v>
      </c>
      <c r="J25" s="20"/>
      <c r="K25" s="29" t="s">
        <v>178</v>
      </c>
      <c r="L25" s="20"/>
      <c r="M25" s="29" t="s">
        <v>178</v>
      </c>
      <c r="N25" s="20"/>
    </row>
    <row r="26" spans="1:14" ht="18" customHeight="1">
      <c r="A26" s="27" t="s">
        <v>203</v>
      </c>
      <c r="B26" s="20"/>
      <c r="C26" s="27" t="s">
        <v>203</v>
      </c>
      <c r="D26" s="20"/>
      <c r="E26" s="27" t="s">
        <v>203</v>
      </c>
      <c r="F26" s="20"/>
      <c r="G26" s="27" t="s">
        <v>203</v>
      </c>
      <c r="H26" s="20"/>
      <c r="I26" s="27" t="s">
        <v>203</v>
      </c>
      <c r="J26" s="20"/>
      <c r="K26" s="26"/>
      <c r="L26" s="20"/>
      <c r="M26" s="26"/>
      <c r="N26" s="20"/>
    </row>
    <row r="27" spans="1:14" ht="18" customHeight="1">
      <c r="A27" s="19" t="s">
        <v>177</v>
      </c>
      <c r="B27" s="20"/>
      <c r="C27" s="19" t="s">
        <v>177</v>
      </c>
      <c r="D27" s="20"/>
      <c r="E27" s="19" t="s">
        <v>177</v>
      </c>
      <c r="F27" s="20"/>
      <c r="G27" s="19" t="s">
        <v>177</v>
      </c>
      <c r="H27" s="20"/>
      <c r="I27" s="19" t="s">
        <v>177</v>
      </c>
      <c r="J27" s="20"/>
      <c r="K27" s="19" t="s">
        <v>177</v>
      </c>
      <c r="L27" s="20"/>
      <c r="M27" s="19" t="s">
        <v>177</v>
      </c>
      <c r="N27" s="20"/>
    </row>
    <row r="28" spans="1:14" ht="18" customHeight="1">
      <c r="A28" s="21" t="s">
        <v>187</v>
      </c>
      <c r="B28" s="20"/>
      <c r="C28" s="21" t="s">
        <v>187</v>
      </c>
      <c r="D28" s="20"/>
      <c r="E28" s="21" t="s">
        <v>187</v>
      </c>
      <c r="F28" s="20"/>
      <c r="G28" s="21" t="s">
        <v>187</v>
      </c>
      <c r="H28" s="20"/>
      <c r="I28" s="21" t="s">
        <v>187</v>
      </c>
      <c r="J28" s="20"/>
      <c r="K28" s="21"/>
      <c r="L28" s="20"/>
      <c r="M28" s="21"/>
      <c r="N28" s="20"/>
    </row>
    <row r="29" spans="1:14" ht="18" customHeight="1">
      <c r="A29" s="56"/>
      <c r="B29" s="20"/>
      <c r="C29" s="56"/>
      <c r="D29" s="20"/>
      <c r="E29" s="56"/>
      <c r="F29" s="20"/>
      <c r="G29" s="56"/>
      <c r="H29" s="20"/>
      <c r="I29" s="56"/>
      <c r="J29" s="20"/>
      <c r="K29" s="56"/>
      <c r="L29" s="20"/>
      <c r="M29" s="56"/>
      <c r="N29" s="20"/>
    </row>
    <row r="30" spans="1:14" ht="18" customHeight="1">
      <c r="A30" s="23"/>
      <c r="B30" s="20"/>
      <c r="C30" s="22"/>
      <c r="D30" s="20"/>
      <c r="E30" s="23"/>
      <c r="F30" s="20"/>
      <c r="G30" s="22"/>
      <c r="H30" s="20"/>
      <c r="I30" s="22"/>
      <c r="J30" s="20"/>
      <c r="K30" s="22"/>
      <c r="L30" s="20"/>
      <c r="M30" s="22"/>
      <c r="N30" s="20"/>
    </row>
    <row r="31" spans="1:14" ht="18" customHeight="1">
      <c r="A31" s="25"/>
      <c r="B31" s="20"/>
      <c r="C31" s="25"/>
      <c r="D31" s="20"/>
      <c r="E31" s="25"/>
      <c r="F31" s="20"/>
      <c r="G31" s="25"/>
      <c r="H31" s="20"/>
      <c r="I31" s="25"/>
      <c r="J31" s="20"/>
      <c r="K31" s="25"/>
      <c r="L31" s="20"/>
      <c r="M31" s="25"/>
      <c r="N31" s="20"/>
    </row>
    <row r="32" spans="1:14" ht="18" customHeight="1">
      <c r="A32" s="58"/>
      <c r="B32" s="24"/>
      <c r="C32" s="58"/>
      <c r="D32" s="24"/>
      <c r="E32" s="58"/>
      <c r="F32" s="24"/>
      <c r="G32" s="58"/>
      <c r="H32" s="24"/>
      <c r="I32" s="58"/>
      <c r="J32" s="24"/>
      <c r="K32" s="58"/>
      <c r="L32" s="24"/>
      <c r="M32" s="58"/>
      <c r="N32" s="24"/>
    </row>
    <row r="33" spans="1:14" ht="18" customHeight="1">
      <c r="A33" s="2">
        <f>M24+1</f>
        <v>46251</v>
      </c>
      <c r="B33" s="3"/>
      <c r="C33" s="2">
        <f>A33+1</f>
        <v>46252</v>
      </c>
      <c r="D33" s="3"/>
      <c r="E33" s="2">
        <f>C33+1</f>
        <v>46253</v>
      </c>
      <c r="F33" s="3"/>
      <c r="G33" s="2">
        <f>E33+1</f>
        <v>46254</v>
      </c>
      <c r="H33" s="3"/>
      <c r="I33" s="2">
        <f>G33+1</f>
        <v>46255</v>
      </c>
      <c r="J33" s="3"/>
      <c r="K33" s="4">
        <f>I33+1</f>
        <v>46256</v>
      </c>
      <c r="L33" s="5"/>
      <c r="M33" s="4">
        <f>K33+1</f>
        <v>46257</v>
      </c>
      <c r="N33" s="5"/>
    </row>
    <row r="34" spans="1:14" ht="18" customHeight="1">
      <c r="A34" s="29" t="s">
        <v>43</v>
      </c>
      <c r="B34" s="20"/>
      <c r="C34" s="29" t="s">
        <v>43</v>
      </c>
      <c r="D34" s="20"/>
      <c r="E34" s="29" t="s">
        <v>43</v>
      </c>
      <c r="F34" s="20"/>
      <c r="G34" s="29" t="s">
        <v>43</v>
      </c>
      <c r="H34" s="20"/>
      <c r="I34" s="29" t="s">
        <v>43</v>
      </c>
      <c r="J34" s="20"/>
      <c r="K34" s="29" t="s">
        <v>43</v>
      </c>
      <c r="L34" s="20"/>
      <c r="M34" s="29" t="s">
        <v>43</v>
      </c>
      <c r="N34" s="20"/>
    </row>
    <row r="35" spans="1:14" ht="18" customHeight="1">
      <c r="A35" s="27" t="s">
        <v>174</v>
      </c>
      <c r="B35" s="20"/>
      <c r="C35" s="27" t="s">
        <v>174</v>
      </c>
      <c r="D35" s="20"/>
      <c r="E35" s="27" t="s">
        <v>174</v>
      </c>
      <c r="F35" s="20"/>
      <c r="G35" s="27" t="s">
        <v>174</v>
      </c>
      <c r="H35" s="20"/>
      <c r="I35" s="27" t="s">
        <v>174</v>
      </c>
      <c r="J35" s="20"/>
      <c r="K35" s="26"/>
      <c r="L35" s="20"/>
      <c r="M35" s="26"/>
      <c r="N35" s="20"/>
    </row>
    <row r="36" spans="1:14" ht="18" customHeight="1">
      <c r="A36" s="19" t="s">
        <v>195</v>
      </c>
      <c r="B36" s="20"/>
      <c r="C36" s="19" t="s">
        <v>195</v>
      </c>
      <c r="D36" s="20"/>
      <c r="E36" s="19" t="s">
        <v>195</v>
      </c>
      <c r="F36" s="20"/>
      <c r="G36" s="19" t="s">
        <v>195</v>
      </c>
      <c r="H36" s="20"/>
      <c r="I36" s="19" t="s">
        <v>195</v>
      </c>
      <c r="J36" s="20"/>
      <c r="K36" s="19" t="s">
        <v>195</v>
      </c>
      <c r="L36" s="20"/>
      <c r="M36" s="19" t="s">
        <v>195</v>
      </c>
      <c r="N36" s="20"/>
    </row>
    <row r="37" spans="1:14" ht="18" customHeight="1">
      <c r="A37" s="21" t="s">
        <v>189</v>
      </c>
      <c r="B37" s="20"/>
      <c r="C37" s="21" t="s">
        <v>189</v>
      </c>
      <c r="D37" s="20"/>
      <c r="E37" s="21" t="s">
        <v>189</v>
      </c>
      <c r="F37" s="20"/>
      <c r="G37" s="21" t="s">
        <v>189</v>
      </c>
      <c r="H37" s="20"/>
      <c r="I37" s="21" t="s">
        <v>189</v>
      </c>
      <c r="J37" s="20"/>
      <c r="K37" s="30"/>
      <c r="L37" s="20"/>
      <c r="M37" s="30"/>
      <c r="N37" s="20"/>
    </row>
    <row r="38" spans="1:14" ht="18" customHeight="1">
      <c r="A38" s="56"/>
      <c r="B38" s="20"/>
      <c r="C38" s="56"/>
      <c r="D38" s="20"/>
      <c r="E38" s="56"/>
      <c r="F38" s="20"/>
      <c r="G38" s="56"/>
      <c r="H38" s="20"/>
      <c r="I38" s="56"/>
      <c r="J38" s="20"/>
      <c r="K38" s="56"/>
      <c r="L38" s="20"/>
      <c r="M38" s="56"/>
      <c r="N38" s="20"/>
    </row>
    <row r="39" spans="1:14" ht="18" customHeight="1">
      <c r="A39" s="23"/>
      <c r="B39" s="20"/>
      <c r="C39" s="22"/>
      <c r="D39" s="20"/>
      <c r="E39" s="23"/>
      <c r="F39" s="20"/>
      <c r="G39" s="22"/>
      <c r="H39" s="20"/>
      <c r="I39" s="22"/>
      <c r="J39" s="20"/>
      <c r="K39" s="22"/>
      <c r="L39" s="20"/>
      <c r="M39" s="22"/>
      <c r="N39" s="20"/>
    </row>
    <row r="40" spans="1:14" ht="18" customHeight="1">
      <c r="A40" s="25"/>
      <c r="B40" s="20"/>
      <c r="C40" s="25"/>
      <c r="D40" s="20"/>
      <c r="E40" s="25"/>
      <c r="F40" s="20"/>
      <c r="G40" s="25"/>
      <c r="H40" s="20"/>
      <c r="I40" s="25"/>
      <c r="J40" s="20"/>
      <c r="K40" s="25"/>
      <c r="L40" s="20"/>
      <c r="M40" s="25"/>
      <c r="N40" s="20"/>
    </row>
    <row r="41" spans="1:14" ht="18" customHeight="1">
      <c r="A41" s="58"/>
      <c r="B41" s="24"/>
      <c r="C41" s="58"/>
      <c r="D41" s="24"/>
      <c r="E41" s="58"/>
      <c r="F41" s="24"/>
      <c r="G41" s="58"/>
      <c r="H41" s="24"/>
      <c r="I41" s="58"/>
      <c r="J41" s="24"/>
      <c r="K41" s="58"/>
      <c r="L41" s="24"/>
      <c r="M41" s="58"/>
      <c r="N41" s="24"/>
    </row>
    <row r="42" spans="1:14" ht="18" customHeight="1">
      <c r="A42" s="2">
        <f>IF(M33="","",IF(MONTH(M33+1)&lt;&gt;MONTH($A$1),"",M33+1))</f>
        <v>46258</v>
      </c>
      <c r="B42" s="3"/>
      <c r="C42" s="2">
        <f>IF(A42="","",IF(MONTH(A42+1)&lt;&gt;MONTH($A$1),"",A42+1))</f>
        <v>46259</v>
      </c>
      <c r="D42" s="3"/>
      <c r="E42" s="2">
        <f>IF(C42="","",IF(MONTH(C42+1)&lt;&gt;MONTH($A$1),"",C42+1))</f>
        <v>46260</v>
      </c>
      <c r="F42" s="3"/>
      <c r="G42" s="2">
        <v>27</v>
      </c>
      <c r="H42" s="3"/>
      <c r="I42" s="2">
        <v>28</v>
      </c>
      <c r="J42" s="3"/>
      <c r="K42" s="4">
        <v>29</v>
      </c>
      <c r="L42" s="5"/>
      <c r="M42" s="4">
        <v>30</v>
      </c>
      <c r="N42" s="5"/>
    </row>
    <row r="43" spans="1:14" ht="18" customHeight="1">
      <c r="A43" s="29" t="s">
        <v>199</v>
      </c>
      <c r="B43" s="20"/>
      <c r="C43" s="29" t="s">
        <v>199</v>
      </c>
      <c r="D43" s="20"/>
      <c r="E43" s="29" t="s">
        <v>199</v>
      </c>
      <c r="F43" s="20"/>
      <c r="G43" s="29" t="s">
        <v>199</v>
      </c>
      <c r="H43" s="20"/>
      <c r="I43" s="29" t="s">
        <v>199</v>
      </c>
      <c r="J43" s="20"/>
      <c r="K43" s="29" t="s">
        <v>199</v>
      </c>
      <c r="L43" s="20"/>
      <c r="M43" s="29" t="s">
        <v>199</v>
      </c>
      <c r="N43" s="20"/>
    </row>
    <row r="44" spans="1:14" ht="18" customHeight="1">
      <c r="A44" s="27" t="s">
        <v>178</v>
      </c>
      <c r="B44" s="20"/>
      <c r="C44" s="27" t="s">
        <v>178</v>
      </c>
      <c r="D44" s="20"/>
      <c r="E44" s="27" t="s">
        <v>178</v>
      </c>
      <c r="F44" s="20"/>
      <c r="G44" s="27" t="s">
        <v>178</v>
      </c>
      <c r="H44" s="20"/>
      <c r="I44" s="27" t="s">
        <v>178</v>
      </c>
      <c r="J44" s="20"/>
      <c r="K44" s="26"/>
      <c r="L44" s="20"/>
      <c r="M44" s="26"/>
      <c r="N44" s="20"/>
    </row>
    <row r="45" spans="1:14" ht="18" customHeight="1">
      <c r="A45" s="19" t="s">
        <v>177</v>
      </c>
      <c r="B45" s="20"/>
      <c r="C45" s="19" t="s">
        <v>177</v>
      </c>
      <c r="D45" s="20"/>
      <c r="E45" s="19" t="s">
        <v>177</v>
      </c>
      <c r="F45" s="20"/>
      <c r="G45" s="19" t="s">
        <v>177</v>
      </c>
      <c r="H45" s="20"/>
      <c r="I45" s="19" t="s">
        <v>177</v>
      </c>
      <c r="J45" s="20"/>
      <c r="K45" s="19" t="s">
        <v>177</v>
      </c>
      <c r="L45" s="20"/>
      <c r="M45" s="19" t="s">
        <v>177</v>
      </c>
      <c r="N45" s="20"/>
    </row>
    <row r="46" spans="1:14" ht="18" customHeight="1">
      <c r="A46" s="21" t="s">
        <v>202</v>
      </c>
      <c r="B46" s="20"/>
      <c r="C46" s="21" t="s">
        <v>202</v>
      </c>
      <c r="D46" s="20"/>
      <c r="E46" s="21" t="s">
        <v>202</v>
      </c>
      <c r="F46" s="20"/>
      <c r="G46" s="21" t="s">
        <v>202</v>
      </c>
      <c r="H46" s="20"/>
      <c r="I46" s="21" t="s">
        <v>202</v>
      </c>
      <c r="J46" s="20"/>
      <c r="K46" s="30"/>
      <c r="L46" s="20"/>
      <c r="M46" s="30"/>
      <c r="N46" s="20"/>
    </row>
    <row r="47" spans="1:14" ht="18" customHeight="1">
      <c r="A47" s="56"/>
      <c r="B47" s="20"/>
      <c r="C47" s="56"/>
      <c r="D47" s="20"/>
      <c r="E47" s="56"/>
      <c r="F47" s="20"/>
      <c r="G47" s="56"/>
      <c r="H47" s="20"/>
      <c r="I47" s="56"/>
      <c r="J47" s="20"/>
      <c r="K47" s="57"/>
      <c r="L47" s="20"/>
      <c r="M47" s="57"/>
      <c r="N47" s="20"/>
    </row>
    <row r="48" spans="1:14" ht="18" customHeight="1">
      <c r="A48" s="23"/>
      <c r="B48" s="20"/>
      <c r="C48" s="22"/>
      <c r="D48" s="20"/>
      <c r="E48" s="23"/>
      <c r="F48" s="20"/>
      <c r="G48" s="22"/>
      <c r="H48" s="20"/>
      <c r="I48" s="22"/>
      <c r="J48" s="20"/>
      <c r="K48" s="22"/>
      <c r="L48" s="20"/>
      <c r="M48" s="22"/>
      <c r="N48" s="20"/>
    </row>
    <row r="49" spans="1:14" ht="18" customHeight="1">
      <c r="A49" s="25"/>
      <c r="B49" s="20"/>
      <c r="C49" s="25"/>
      <c r="D49" s="20"/>
      <c r="E49" s="25"/>
      <c r="F49" s="20"/>
      <c r="G49" s="25"/>
      <c r="H49" s="20"/>
      <c r="I49" s="25"/>
      <c r="J49" s="20"/>
      <c r="K49" s="25"/>
      <c r="L49" s="20"/>
      <c r="M49" s="25"/>
      <c r="N49" s="20"/>
    </row>
    <row r="50" spans="1:14" ht="18" customHeight="1">
      <c r="A50" s="58"/>
      <c r="B50" s="24"/>
      <c r="C50" s="58"/>
      <c r="D50" s="24"/>
      <c r="E50" s="58"/>
      <c r="F50" s="24"/>
      <c r="G50" s="58"/>
      <c r="H50" s="24"/>
      <c r="I50" s="58"/>
      <c r="J50" s="24"/>
      <c r="K50" s="58"/>
      <c r="L50" s="24"/>
      <c r="M50" s="58"/>
      <c r="N50" s="24"/>
    </row>
    <row r="51" spans="1:14" ht="18" customHeight="1">
      <c r="A51" s="2"/>
      <c r="B51" s="3"/>
      <c r="C51" s="2"/>
      <c r="D51" s="3"/>
      <c r="E51" s="46" t="s">
        <v>22</v>
      </c>
      <c r="F51" s="47"/>
      <c r="G51" s="48"/>
      <c r="H51" s="47"/>
      <c r="I51" s="47"/>
      <c r="J51" s="47"/>
      <c r="K51" s="47"/>
      <c r="L51" s="47"/>
      <c r="M51" s="47"/>
      <c r="N51" s="49"/>
    </row>
    <row r="52" spans="1:14" ht="18" customHeight="1">
      <c r="A52" s="29"/>
      <c r="B52" s="20"/>
      <c r="C52" s="44"/>
      <c r="D52" s="20"/>
      <c r="E52" s="45"/>
      <c r="F52" s="37"/>
      <c r="G52" s="37"/>
      <c r="H52" s="37"/>
      <c r="I52" s="37"/>
      <c r="J52" s="37"/>
      <c r="K52" s="37"/>
      <c r="L52" s="37"/>
      <c r="M52" s="37"/>
      <c r="N52" s="20"/>
    </row>
    <row r="53" spans="1:14" ht="18" customHeight="1">
      <c r="A53" s="27"/>
      <c r="B53" s="20"/>
      <c r="C53" s="26"/>
      <c r="D53" s="20"/>
      <c r="E53" s="45"/>
      <c r="F53" s="37"/>
      <c r="G53" s="37"/>
      <c r="H53" s="37"/>
      <c r="I53" s="37"/>
      <c r="J53" s="37"/>
      <c r="K53" s="37"/>
      <c r="L53" s="37"/>
      <c r="M53" s="37"/>
      <c r="N53" s="20"/>
    </row>
    <row r="54" spans="1:14" ht="18" customHeight="1">
      <c r="A54" s="19"/>
      <c r="B54" s="20"/>
      <c r="C54" s="35"/>
      <c r="D54" s="20"/>
      <c r="E54" s="45"/>
      <c r="F54" s="37"/>
      <c r="G54" s="37"/>
      <c r="H54" s="37"/>
      <c r="I54" s="37"/>
      <c r="J54" s="37"/>
      <c r="K54" s="37"/>
      <c r="L54" s="37"/>
      <c r="M54" s="37"/>
      <c r="N54" s="20"/>
    </row>
    <row r="55" spans="1:14" ht="18" customHeight="1">
      <c r="A55" s="21"/>
      <c r="B55" s="20"/>
      <c r="C55" s="30"/>
      <c r="D55" s="20"/>
      <c r="E55" s="6"/>
      <c r="F55" s="7"/>
      <c r="G55" s="7"/>
      <c r="H55" s="7"/>
      <c r="I55" s="7"/>
      <c r="J55" s="7"/>
      <c r="K55" s="7"/>
      <c r="L55" s="7"/>
      <c r="M55" s="7"/>
      <c r="N55" s="8"/>
    </row>
    <row r="56" spans="1:14" ht="18" customHeight="1">
      <c r="A56" s="56"/>
      <c r="B56" s="20"/>
      <c r="C56" s="57"/>
      <c r="D56" s="20"/>
      <c r="E56" s="6"/>
      <c r="F56" s="7"/>
      <c r="G56" s="7"/>
      <c r="H56" s="7"/>
      <c r="I56" s="7"/>
      <c r="J56" s="7"/>
      <c r="K56" s="7"/>
      <c r="L56" s="7"/>
      <c r="M56" s="7"/>
      <c r="N56" s="8"/>
    </row>
    <row r="57" spans="1:14" ht="18" customHeight="1">
      <c r="A57" s="23"/>
      <c r="B57" s="20"/>
      <c r="C57" s="22"/>
      <c r="D57" s="20"/>
      <c r="E57" s="6"/>
      <c r="F57" s="7"/>
      <c r="G57" s="7"/>
      <c r="H57" s="7"/>
      <c r="I57" s="7"/>
      <c r="J57" s="7"/>
      <c r="K57" s="7"/>
      <c r="L57" s="7"/>
      <c r="M57" s="7"/>
      <c r="N57" s="8"/>
    </row>
    <row r="58" spans="1:14" ht="18" customHeight="1">
      <c r="A58" s="25"/>
      <c r="B58" s="20"/>
      <c r="C58" s="31"/>
      <c r="D58" s="24"/>
      <c r="E58" s="32" t="s">
        <v>23</v>
      </c>
      <c r="F58" s="33"/>
      <c r="G58" s="33"/>
      <c r="H58" s="33"/>
      <c r="I58" s="34" t="str">
        <f>HYPERLINK("https://www.vertex42.com/calendars/academic-calendar.html","https://www.vertex42.com/calendars/academic-calendar.html")</f>
        <v>https://www.vertex42.com/calendars/academic-calendar.html</v>
      </c>
      <c r="J58" s="33"/>
      <c r="K58" s="33"/>
      <c r="L58" s="33"/>
      <c r="M58" s="33"/>
      <c r="N58" s="24"/>
    </row>
  </sheetData>
  <mergeCells count="319">
    <mergeCell ref="C14:D14"/>
    <mergeCell ref="C17:D17"/>
    <mergeCell ref="G17:H17"/>
    <mergeCell ref="A18:B18"/>
    <mergeCell ref="C39:D39"/>
    <mergeCell ref="C47:D47"/>
    <mergeCell ref="C48:D48"/>
    <mergeCell ref="C49:D49"/>
    <mergeCell ref="C50:D50"/>
    <mergeCell ref="C40:D40"/>
    <mergeCell ref="E40:F40"/>
    <mergeCell ref="E14:F14"/>
    <mergeCell ref="G14:H14"/>
    <mergeCell ref="C18:D18"/>
    <mergeCell ref="E31:F31"/>
    <mergeCell ref="G31:H31"/>
    <mergeCell ref="C32:D32"/>
    <mergeCell ref="E32:F32"/>
    <mergeCell ref="G32:H32"/>
    <mergeCell ref="G34:H34"/>
    <mergeCell ref="G26:H26"/>
    <mergeCell ref="A19:B19"/>
    <mergeCell ref="C19:D19"/>
    <mergeCell ref="A20:B20"/>
    <mergeCell ref="G9:H9"/>
    <mergeCell ref="I9:J9"/>
    <mergeCell ref="K9:L9"/>
    <mergeCell ref="M9:N9"/>
    <mergeCell ref="I14:J14"/>
    <mergeCell ref="K14:L14"/>
    <mergeCell ref="M14:N14"/>
    <mergeCell ref="A31:B31"/>
    <mergeCell ref="A32:B32"/>
    <mergeCell ref="E30:F30"/>
    <mergeCell ref="G30:H30"/>
    <mergeCell ref="I30:J30"/>
    <mergeCell ref="K30:L30"/>
    <mergeCell ref="M30:N30"/>
    <mergeCell ref="C31:D31"/>
    <mergeCell ref="M31:N31"/>
    <mergeCell ref="A22:B22"/>
    <mergeCell ref="C22:D22"/>
    <mergeCell ref="A23:B23"/>
    <mergeCell ref="C23:D23"/>
    <mergeCell ref="A16:B16"/>
    <mergeCell ref="C16:D16"/>
    <mergeCell ref="A17:B17"/>
    <mergeCell ref="A14:B14"/>
    <mergeCell ref="E12:F12"/>
    <mergeCell ref="G12:H12"/>
    <mergeCell ref="I12:J12"/>
    <mergeCell ref="K12:L12"/>
    <mergeCell ref="M12:N12"/>
    <mergeCell ref="A13:B13"/>
    <mergeCell ref="C13:D13"/>
    <mergeCell ref="E13:F13"/>
    <mergeCell ref="G13:H13"/>
    <mergeCell ref="I13:J13"/>
    <mergeCell ref="K13:L13"/>
    <mergeCell ref="M13:N13"/>
    <mergeCell ref="A12:B12"/>
    <mergeCell ref="C12:D12"/>
    <mergeCell ref="C20:D20"/>
    <mergeCell ref="A21:B21"/>
    <mergeCell ref="C21:D21"/>
    <mergeCell ref="I21:J21"/>
    <mergeCell ref="K21:L21"/>
    <mergeCell ref="M21:N21"/>
    <mergeCell ref="E21:F21"/>
    <mergeCell ref="G21:H21"/>
    <mergeCell ref="E3:F3"/>
    <mergeCell ref="G3:H3"/>
    <mergeCell ref="E16:F16"/>
    <mergeCell ref="G16:H16"/>
    <mergeCell ref="I16:J16"/>
    <mergeCell ref="K16:L16"/>
    <mergeCell ref="G11:H11"/>
    <mergeCell ref="E19:F19"/>
    <mergeCell ref="G19:H19"/>
    <mergeCell ref="I19:J19"/>
    <mergeCell ref="K19:L19"/>
    <mergeCell ref="M19:N19"/>
    <mergeCell ref="E20:F20"/>
    <mergeCell ref="G20:H20"/>
    <mergeCell ref="I20:J20"/>
    <mergeCell ref="K20:L20"/>
    <mergeCell ref="G25:H25"/>
    <mergeCell ref="I25:J25"/>
    <mergeCell ref="K25:L25"/>
    <mergeCell ref="M25:N25"/>
    <mergeCell ref="M22:N22"/>
    <mergeCell ref="E22:F22"/>
    <mergeCell ref="G22:H22"/>
    <mergeCell ref="I22:J22"/>
    <mergeCell ref="K22:L22"/>
    <mergeCell ref="E25:F25"/>
    <mergeCell ref="E23:F23"/>
    <mergeCell ref="G23:H23"/>
    <mergeCell ref="I23:J23"/>
    <mergeCell ref="K23:L23"/>
    <mergeCell ref="M23:N23"/>
    <mergeCell ref="M20:N20"/>
    <mergeCell ref="M16:N16"/>
    <mergeCell ref="E17:F17"/>
    <mergeCell ref="I17:J17"/>
    <mergeCell ref="K17:L17"/>
    <mergeCell ref="M17:N17"/>
    <mergeCell ref="E18:F18"/>
    <mergeCell ref="G18:H18"/>
    <mergeCell ref="I18:J18"/>
    <mergeCell ref="K18:L18"/>
    <mergeCell ref="M18:N18"/>
    <mergeCell ref="I37:J37"/>
    <mergeCell ref="K37:L37"/>
    <mergeCell ref="I31:J31"/>
    <mergeCell ref="K31:L31"/>
    <mergeCell ref="I32:J32"/>
    <mergeCell ref="K32:L32"/>
    <mergeCell ref="C27:D27"/>
    <mergeCell ref="E27:F27"/>
    <mergeCell ref="G27:H27"/>
    <mergeCell ref="I27:J27"/>
    <mergeCell ref="K27:L27"/>
    <mergeCell ref="C35:D35"/>
    <mergeCell ref="C36:D36"/>
    <mergeCell ref="G36:H36"/>
    <mergeCell ref="I36:J36"/>
    <mergeCell ref="K36:L36"/>
    <mergeCell ref="K29:L29"/>
    <mergeCell ref="M27:N27"/>
    <mergeCell ref="A28:B28"/>
    <mergeCell ref="C28:D28"/>
    <mergeCell ref="E28:F28"/>
    <mergeCell ref="G28:H28"/>
    <mergeCell ref="I28:J28"/>
    <mergeCell ref="K28:L28"/>
    <mergeCell ref="M28:N28"/>
    <mergeCell ref="I58:N58"/>
    <mergeCell ref="E54:N54"/>
    <mergeCell ref="E47:F47"/>
    <mergeCell ref="G47:H47"/>
    <mergeCell ref="I47:J47"/>
    <mergeCell ref="K47:L47"/>
    <mergeCell ref="M47:N47"/>
    <mergeCell ref="E48:F48"/>
    <mergeCell ref="G48:H48"/>
    <mergeCell ref="I48:J48"/>
    <mergeCell ref="K48:L48"/>
    <mergeCell ref="M48:N48"/>
    <mergeCell ref="E49:F49"/>
    <mergeCell ref="G49:H49"/>
    <mergeCell ref="I49:J49"/>
    <mergeCell ref="K49:L49"/>
    <mergeCell ref="I43:J43"/>
    <mergeCell ref="K43:L43"/>
    <mergeCell ref="E39:F39"/>
    <mergeCell ref="E44:F44"/>
    <mergeCell ref="G44:H44"/>
    <mergeCell ref="I44:J44"/>
    <mergeCell ref="K44:L44"/>
    <mergeCell ref="M44:N44"/>
    <mergeCell ref="C37:D37"/>
    <mergeCell ref="C38:D38"/>
    <mergeCell ref="E38:F38"/>
    <mergeCell ref="G38:H38"/>
    <mergeCell ref="I38:J38"/>
    <mergeCell ref="K38:L38"/>
    <mergeCell ref="M38:N38"/>
    <mergeCell ref="E37:F37"/>
    <mergeCell ref="G37:H37"/>
    <mergeCell ref="M37:N37"/>
    <mergeCell ref="G40:H40"/>
    <mergeCell ref="I40:J40"/>
    <mergeCell ref="K40:L40"/>
    <mergeCell ref="M40:N40"/>
    <mergeCell ref="C41:D41"/>
    <mergeCell ref="E41:F41"/>
    <mergeCell ref="I26:J26"/>
    <mergeCell ref="K26:L26"/>
    <mergeCell ref="M26:N26"/>
    <mergeCell ref="G51:N51"/>
    <mergeCell ref="E50:F50"/>
    <mergeCell ref="I45:J45"/>
    <mergeCell ref="K45:L45"/>
    <mergeCell ref="M45:N45"/>
    <mergeCell ref="I46:J46"/>
    <mergeCell ref="K46:L46"/>
    <mergeCell ref="M46:N46"/>
    <mergeCell ref="G39:H39"/>
    <mergeCell ref="I39:J39"/>
    <mergeCell ref="K39:L39"/>
    <mergeCell ref="M39:N39"/>
    <mergeCell ref="M49:N49"/>
    <mergeCell ref="M43:N43"/>
    <mergeCell ref="G41:H41"/>
    <mergeCell ref="I41:J41"/>
    <mergeCell ref="K41:L41"/>
    <mergeCell ref="M41:N41"/>
    <mergeCell ref="E43:F43"/>
    <mergeCell ref="G43:H43"/>
    <mergeCell ref="E36:F36"/>
    <mergeCell ref="M11:N11"/>
    <mergeCell ref="A10:B10"/>
    <mergeCell ref="C10:D10"/>
    <mergeCell ref="E10:F10"/>
    <mergeCell ref="G10:H10"/>
    <mergeCell ref="I10:J10"/>
    <mergeCell ref="K10:L10"/>
    <mergeCell ref="M10:N10"/>
    <mergeCell ref="M3:N3"/>
    <mergeCell ref="A4:N4"/>
    <mergeCell ref="I3:J3"/>
    <mergeCell ref="K3:L3"/>
    <mergeCell ref="I11:J11"/>
    <mergeCell ref="K11:L11"/>
    <mergeCell ref="C5:D5"/>
    <mergeCell ref="E5:F5"/>
    <mergeCell ref="G5:H5"/>
    <mergeCell ref="I5:J5"/>
    <mergeCell ref="K5:L5"/>
    <mergeCell ref="M5:N5"/>
    <mergeCell ref="A5:B5"/>
    <mergeCell ref="A9:B9"/>
    <mergeCell ref="C9:D9"/>
    <mergeCell ref="E9:F9"/>
    <mergeCell ref="A1:B1"/>
    <mergeCell ref="K1:N1"/>
    <mergeCell ref="A2:N2"/>
    <mergeCell ref="A3:B3"/>
    <mergeCell ref="C3:D3"/>
    <mergeCell ref="G8:H8"/>
    <mergeCell ref="I8:J8"/>
    <mergeCell ref="K8:L8"/>
    <mergeCell ref="M8:N8"/>
    <mergeCell ref="A7:B7"/>
    <mergeCell ref="C7:D7"/>
    <mergeCell ref="E7:F7"/>
    <mergeCell ref="G7:H7"/>
    <mergeCell ref="I7:J7"/>
    <mergeCell ref="K7:L7"/>
    <mergeCell ref="M7:N7"/>
    <mergeCell ref="A43:B43"/>
    <mergeCell ref="C43:D43"/>
    <mergeCell ref="A44:B44"/>
    <mergeCell ref="C44:D44"/>
    <mergeCell ref="A45:B45"/>
    <mergeCell ref="C45:D45"/>
    <mergeCell ref="A8:B8"/>
    <mergeCell ref="C8:D8"/>
    <mergeCell ref="E8:F8"/>
    <mergeCell ref="A11:B11"/>
    <mergeCell ref="C11:D11"/>
    <mergeCell ref="E11:F11"/>
    <mergeCell ref="A25:B25"/>
    <mergeCell ref="C25:D25"/>
    <mergeCell ref="A26:B26"/>
    <mergeCell ref="E26:F26"/>
    <mergeCell ref="A37:B37"/>
    <mergeCell ref="A38:B38"/>
    <mergeCell ref="A39:B39"/>
    <mergeCell ref="A40:B40"/>
    <mergeCell ref="A41:B41"/>
    <mergeCell ref="A36:B36"/>
    <mergeCell ref="A27:B27"/>
    <mergeCell ref="C26:D26"/>
    <mergeCell ref="A54:B54"/>
    <mergeCell ref="A52:B52"/>
    <mergeCell ref="A48:B48"/>
    <mergeCell ref="A49:B49"/>
    <mergeCell ref="A50:B50"/>
    <mergeCell ref="G50:H50"/>
    <mergeCell ref="A53:B53"/>
    <mergeCell ref="E45:F45"/>
    <mergeCell ref="G45:H45"/>
    <mergeCell ref="A46:B46"/>
    <mergeCell ref="C46:D46"/>
    <mergeCell ref="E46:F46"/>
    <mergeCell ref="G46:H46"/>
    <mergeCell ref="A47:B47"/>
    <mergeCell ref="E52:N52"/>
    <mergeCell ref="I50:J50"/>
    <mergeCell ref="K50:L50"/>
    <mergeCell ref="M50:N50"/>
    <mergeCell ref="C54:D54"/>
    <mergeCell ref="E51:F51"/>
    <mergeCell ref="C52:D52"/>
    <mergeCell ref="C53:D53"/>
    <mergeCell ref="E53:N53"/>
    <mergeCell ref="C58:D58"/>
    <mergeCell ref="E58:H58"/>
    <mergeCell ref="A55:B55"/>
    <mergeCell ref="C55:D55"/>
    <mergeCell ref="A56:B56"/>
    <mergeCell ref="C56:D56"/>
    <mergeCell ref="A57:B57"/>
    <mergeCell ref="C57:D57"/>
    <mergeCell ref="A58:B58"/>
    <mergeCell ref="M29:N29"/>
    <mergeCell ref="A30:B30"/>
    <mergeCell ref="C30:D30"/>
    <mergeCell ref="A29:B29"/>
    <mergeCell ref="C29:D29"/>
    <mergeCell ref="E29:F29"/>
    <mergeCell ref="G29:H29"/>
    <mergeCell ref="I29:J29"/>
    <mergeCell ref="M36:N36"/>
    <mergeCell ref="A34:B34"/>
    <mergeCell ref="E35:F35"/>
    <mergeCell ref="G35:H35"/>
    <mergeCell ref="I35:J35"/>
    <mergeCell ref="K35:L35"/>
    <mergeCell ref="M35:N35"/>
    <mergeCell ref="A35:B35"/>
    <mergeCell ref="C34:D34"/>
    <mergeCell ref="E34:F34"/>
    <mergeCell ref="I34:J34"/>
    <mergeCell ref="K34:L34"/>
    <mergeCell ref="M32:N32"/>
    <mergeCell ref="M34:N34"/>
  </mergeCells>
  <printOptions horizontalCentered="1" verticalCentered="1" gridLines="1"/>
  <pageMargins left="0.5" right="0.5" top="0.25" bottom="0.25" header="0" footer="0"/>
  <pageSetup scale="80" pageOrder="overThenDown" orientation="portrait" cellComments="atEnd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  <pageSetUpPr fitToPage="1"/>
  </sheetPr>
  <dimension ref="A1:N58"/>
  <sheetViews>
    <sheetView showGridLines="0" tabSelected="1" topLeftCell="A4" workbookViewId="0">
      <selection activeCell="M25" sqref="M25:N25"/>
    </sheetView>
  </sheetViews>
  <sheetFormatPr defaultColWidth="12.5703125" defaultRowHeight="12.75" customHeight="1"/>
  <cols>
    <col min="1" max="1" width="3.85546875" customWidth="1"/>
    <col min="2" max="2" width="13.42578125" customWidth="1"/>
    <col min="3" max="3" width="3.85546875" customWidth="1"/>
    <col min="4" max="4" width="13.42578125" customWidth="1"/>
    <col min="5" max="5" width="3.85546875" customWidth="1"/>
    <col min="6" max="6" width="13.42578125" customWidth="1"/>
    <col min="7" max="7" width="3.85546875" customWidth="1"/>
    <col min="8" max="8" width="13.42578125" customWidth="1"/>
    <col min="9" max="9" width="3.85546875" customWidth="1"/>
    <col min="10" max="10" width="15.42578125" customWidth="1"/>
    <col min="11" max="11" width="3.85546875" customWidth="1"/>
    <col min="12" max="12" width="13.42578125" customWidth="1"/>
    <col min="13" max="13" width="3.85546875" customWidth="1"/>
    <col min="14" max="14" width="13.42578125" customWidth="1"/>
  </cols>
  <sheetData>
    <row r="1" spans="1:14" ht="18" customHeight="1">
      <c r="A1" s="36">
        <f>EDATE('©'!A17,38)</f>
        <v>46266</v>
      </c>
      <c r="B1" s="37"/>
      <c r="C1" s="1"/>
      <c r="D1" s="1"/>
      <c r="E1" s="1"/>
      <c r="F1" s="1"/>
      <c r="G1" s="1"/>
      <c r="H1" s="1"/>
      <c r="I1" s="1"/>
      <c r="J1" s="1"/>
      <c r="K1" s="38" t="s">
        <v>0</v>
      </c>
      <c r="L1" s="37"/>
      <c r="M1" s="37"/>
      <c r="N1" s="37"/>
    </row>
    <row r="2" spans="1:14" ht="18" customHeight="1">
      <c r="A2" s="39" t="s">
        <v>166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1:14" ht="18" customHeight="1">
      <c r="A3" s="29" t="s">
        <v>167</v>
      </c>
      <c r="B3" s="37"/>
      <c r="C3" s="27" t="s">
        <v>168</v>
      </c>
      <c r="D3" s="37"/>
      <c r="E3" s="19" t="s">
        <v>169</v>
      </c>
      <c r="F3" s="37"/>
      <c r="G3" s="21" t="s">
        <v>170</v>
      </c>
      <c r="H3" s="37"/>
      <c r="I3" s="56" t="s">
        <v>171</v>
      </c>
      <c r="J3" s="37"/>
      <c r="K3" s="23" t="s">
        <v>172</v>
      </c>
      <c r="L3" s="37"/>
      <c r="M3" s="25" t="s">
        <v>173</v>
      </c>
      <c r="N3" s="37"/>
    </row>
    <row r="4" spans="1:14" ht="69" customHeight="1">
      <c r="A4" s="42" t="str">
        <f>UPPER(TEXT(A1,"mmmm yyyy"))</f>
        <v>SEPTEMBER 2026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</row>
    <row r="5" spans="1:14" ht="18" customHeight="1">
      <c r="A5" s="40">
        <f>A15</f>
        <v>46272</v>
      </c>
      <c r="B5" s="41"/>
      <c r="C5" s="40">
        <f>C15</f>
        <v>46273</v>
      </c>
      <c r="D5" s="41"/>
      <c r="E5" s="40">
        <f>E15</f>
        <v>46274</v>
      </c>
      <c r="F5" s="41"/>
      <c r="G5" s="40">
        <f>G15</f>
        <v>46275</v>
      </c>
      <c r="H5" s="41"/>
      <c r="I5" s="40">
        <f>I15</f>
        <v>46276</v>
      </c>
      <c r="J5" s="41"/>
      <c r="K5" s="40">
        <f>M15</f>
        <v>46278</v>
      </c>
      <c r="L5" s="41"/>
      <c r="M5" s="40">
        <f>M15</f>
        <v>46278</v>
      </c>
      <c r="N5" s="41"/>
    </row>
    <row r="6" spans="1:14" ht="18" customHeight="1">
      <c r="A6" s="2"/>
      <c r="B6" s="3"/>
      <c r="C6" s="2">
        <f>IF(A6="",IF(WEEKDAY($A$1,1)=MOD(startday,7)+1,$A$1,""),A6+1)</f>
        <v>46266</v>
      </c>
      <c r="D6" s="3"/>
      <c r="E6" s="2">
        <f>IF(C6="",IF(WEEKDAY($A$1,1)=MOD(startday,7)+2,$A$1,""),C6+1)</f>
        <v>46267</v>
      </c>
      <c r="F6" s="3"/>
      <c r="G6" s="2">
        <f>IF(E6="",IF(WEEKDAY($A$1,1)=MOD(startday,7)+3,$A$1,""),E6+1)</f>
        <v>46268</v>
      </c>
      <c r="H6" s="3"/>
      <c r="I6" s="2">
        <f>IF(G6="",IF(WEEKDAY($A$1,1)=MOD(startday,7)+4,$A$1,""),G6+1)</f>
        <v>46269</v>
      </c>
      <c r="J6" s="3"/>
      <c r="K6" s="4">
        <f>IF(I6="",IF(WEEKDAY($A$1,1)=MOD(startday,7)+5,$A$1,""),I6+1)</f>
        <v>46270</v>
      </c>
      <c r="L6" s="5"/>
      <c r="M6" s="4">
        <f>IF(K6="",IF(WEEKDAY($A$1,1)=MOD(startday+5,7)+1,$A$1,""),K6+1)</f>
        <v>46271</v>
      </c>
      <c r="N6" s="5"/>
    </row>
    <row r="7" spans="1:14" ht="18" customHeight="1">
      <c r="A7" s="29" t="s">
        <v>207</v>
      </c>
      <c r="B7" s="20"/>
      <c r="C7" s="29" t="s">
        <v>207</v>
      </c>
      <c r="D7" s="20"/>
      <c r="E7" s="29" t="s">
        <v>207</v>
      </c>
      <c r="F7" s="20"/>
      <c r="G7" s="29" t="s">
        <v>207</v>
      </c>
      <c r="H7" s="20"/>
      <c r="I7" s="29" t="s">
        <v>207</v>
      </c>
      <c r="J7" s="20"/>
      <c r="K7" s="29" t="s">
        <v>207</v>
      </c>
      <c r="L7" s="20"/>
      <c r="M7" s="29" t="s">
        <v>207</v>
      </c>
      <c r="N7" s="20"/>
    </row>
    <row r="8" spans="1:14" ht="27.75" customHeight="1">
      <c r="A8" s="27" t="s">
        <v>194</v>
      </c>
      <c r="B8" s="20"/>
      <c r="C8" s="27" t="s">
        <v>194</v>
      </c>
      <c r="D8" s="20"/>
      <c r="E8" s="27" t="s">
        <v>194</v>
      </c>
      <c r="F8" s="20"/>
      <c r="G8" s="27" t="s">
        <v>194</v>
      </c>
      <c r="H8" s="20"/>
      <c r="I8" s="27" t="s">
        <v>194</v>
      </c>
      <c r="J8" s="20"/>
      <c r="K8" s="27"/>
      <c r="L8" s="20"/>
      <c r="M8" s="27"/>
      <c r="N8" s="20"/>
    </row>
    <row r="9" spans="1:14" ht="18" customHeight="1">
      <c r="A9" s="19" t="s">
        <v>189</v>
      </c>
      <c r="B9" s="20"/>
      <c r="C9" s="19" t="s">
        <v>189</v>
      </c>
      <c r="D9" s="20"/>
      <c r="E9" s="19" t="s">
        <v>189</v>
      </c>
      <c r="F9" s="20"/>
      <c r="G9" s="19" t="s">
        <v>189</v>
      </c>
      <c r="H9" s="20"/>
      <c r="I9" s="19" t="s">
        <v>189</v>
      </c>
      <c r="J9" s="20"/>
      <c r="K9" s="19" t="s">
        <v>189</v>
      </c>
      <c r="L9" s="20"/>
      <c r="M9" s="19" t="s">
        <v>189</v>
      </c>
      <c r="N9" s="20"/>
    </row>
    <row r="10" spans="1:14" ht="18" customHeight="1">
      <c r="A10" s="21" t="s">
        <v>177</v>
      </c>
      <c r="B10" s="20"/>
      <c r="C10" s="21" t="s">
        <v>177</v>
      </c>
      <c r="D10" s="20"/>
      <c r="E10" s="21" t="s">
        <v>177</v>
      </c>
      <c r="F10" s="20"/>
      <c r="G10" s="21" t="s">
        <v>177</v>
      </c>
      <c r="H10" s="20"/>
      <c r="I10" s="21" t="s">
        <v>177</v>
      </c>
      <c r="J10" s="20"/>
      <c r="K10" s="21"/>
      <c r="L10" s="20"/>
      <c r="M10" s="21"/>
      <c r="N10" s="20"/>
    </row>
    <row r="11" spans="1:14" ht="18" customHeight="1">
      <c r="A11" s="56"/>
      <c r="B11" s="20"/>
      <c r="C11" s="57"/>
      <c r="D11" s="20"/>
      <c r="E11" s="56"/>
      <c r="F11" s="20"/>
      <c r="G11" s="56"/>
      <c r="H11" s="20"/>
      <c r="I11" s="56"/>
      <c r="J11" s="20"/>
      <c r="K11" s="56"/>
      <c r="L11" s="20"/>
      <c r="M11" s="56"/>
      <c r="N11" s="20"/>
    </row>
    <row r="12" spans="1:14" ht="18" customHeight="1">
      <c r="A12" s="23"/>
      <c r="B12" s="20"/>
      <c r="C12" s="22"/>
      <c r="D12" s="20"/>
      <c r="E12" s="23"/>
      <c r="F12" s="20"/>
      <c r="G12" s="22"/>
      <c r="H12" s="20"/>
      <c r="I12" s="22"/>
      <c r="J12" s="20"/>
      <c r="K12" s="22"/>
      <c r="L12" s="20"/>
      <c r="M12" s="22"/>
      <c r="N12" s="20"/>
    </row>
    <row r="13" spans="1:14" ht="18" customHeight="1">
      <c r="A13" s="25"/>
      <c r="B13" s="20"/>
      <c r="C13" s="25"/>
      <c r="D13" s="20"/>
      <c r="E13" s="25"/>
      <c r="F13" s="20"/>
      <c r="G13" s="25"/>
      <c r="H13" s="20"/>
      <c r="I13" s="25"/>
      <c r="J13" s="20"/>
      <c r="K13" s="25"/>
      <c r="L13" s="20"/>
      <c r="M13" s="25"/>
      <c r="N13" s="20"/>
    </row>
    <row r="14" spans="1:14" ht="18" customHeight="1">
      <c r="A14" s="58"/>
      <c r="B14" s="24"/>
      <c r="C14" s="58"/>
      <c r="D14" s="24"/>
      <c r="E14" s="58"/>
      <c r="F14" s="24"/>
      <c r="G14" s="58"/>
      <c r="H14" s="24"/>
      <c r="I14" s="58"/>
      <c r="J14" s="24"/>
      <c r="K14" s="58"/>
      <c r="L14" s="24"/>
      <c r="M14" s="58"/>
      <c r="N14" s="24"/>
    </row>
    <row r="15" spans="1:14" ht="18" customHeight="1">
      <c r="A15" s="2">
        <f>M6+1</f>
        <v>46272</v>
      </c>
      <c r="B15" s="3" t="s">
        <v>208</v>
      </c>
      <c r="C15" s="2">
        <f>A15+1</f>
        <v>46273</v>
      </c>
      <c r="D15" s="3"/>
      <c r="E15" s="2">
        <f>C15+1</f>
        <v>46274</v>
      </c>
      <c r="F15" s="3"/>
      <c r="G15" s="2">
        <f>E15+1</f>
        <v>46275</v>
      </c>
      <c r="H15" s="3"/>
      <c r="I15" s="2">
        <f>G15+1</f>
        <v>46276</v>
      </c>
      <c r="J15" s="3"/>
      <c r="K15" s="4">
        <f>I15+1</f>
        <v>46277</v>
      </c>
      <c r="L15" s="5"/>
      <c r="M15" s="4">
        <f>K15+1</f>
        <v>46278</v>
      </c>
      <c r="N15" s="5"/>
    </row>
    <row r="16" spans="1:14" ht="18" customHeight="1">
      <c r="A16" s="29" t="s">
        <v>207</v>
      </c>
      <c r="B16" s="20"/>
      <c r="C16" s="29" t="s">
        <v>186</v>
      </c>
      <c r="D16" s="20"/>
      <c r="E16" s="29" t="s">
        <v>186</v>
      </c>
      <c r="F16" s="20"/>
      <c r="G16" s="29" t="s">
        <v>186</v>
      </c>
      <c r="H16" s="20"/>
      <c r="I16" s="29" t="s">
        <v>186</v>
      </c>
      <c r="J16" s="20"/>
      <c r="K16" s="29" t="s">
        <v>186</v>
      </c>
      <c r="L16" s="20"/>
      <c r="M16" s="29" t="s">
        <v>186</v>
      </c>
      <c r="N16" s="20"/>
    </row>
    <row r="17" spans="1:14" ht="18" customHeight="1">
      <c r="A17" s="27"/>
      <c r="B17" s="20"/>
      <c r="C17" s="27" t="s">
        <v>175</v>
      </c>
      <c r="D17" s="20"/>
      <c r="E17" s="27" t="s">
        <v>175</v>
      </c>
      <c r="F17" s="20"/>
      <c r="G17" s="27" t="s">
        <v>175</v>
      </c>
      <c r="H17" s="20"/>
      <c r="I17" s="27" t="s">
        <v>175</v>
      </c>
      <c r="J17" s="20"/>
      <c r="K17" s="26"/>
      <c r="L17" s="20"/>
      <c r="M17" s="26"/>
      <c r="N17" s="20"/>
    </row>
    <row r="18" spans="1:14" ht="18" customHeight="1">
      <c r="A18" s="19" t="s">
        <v>202</v>
      </c>
      <c r="B18" s="20"/>
      <c r="C18" s="19" t="s">
        <v>202</v>
      </c>
      <c r="D18" s="20"/>
      <c r="E18" s="19" t="s">
        <v>202</v>
      </c>
      <c r="F18" s="20"/>
      <c r="G18" s="19" t="s">
        <v>202</v>
      </c>
      <c r="H18" s="20"/>
      <c r="I18" s="19" t="s">
        <v>202</v>
      </c>
      <c r="J18" s="20"/>
      <c r="K18" s="19" t="s">
        <v>202</v>
      </c>
      <c r="L18" s="20"/>
      <c r="M18" s="19" t="s">
        <v>202</v>
      </c>
      <c r="N18" s="20"/>
    </row>
    <row r="19" spans="1:14" ht="18" customHeight="1">
      <c r="A19" s="21"/>
      <c r="B19" s="20"/>
      <c r="C19" s="21" t="s">
        <v>176</v>
      </c>
      <c r="D19" s="20"/>
      <c r="E19" s="21" t="s">
        <v>176</v>
      </c>
      <c r="F19" s="20"/>
      <c r="G19" s="21" t="s">
        <v>176</v>
      </c>
      <c r="H19" s="20"/>
      <c r="I19" s="21" t="s">
        <v>176</v>
      </c>
      <c r="J19" s="20"/>
      <c r="K19" s="21"/>
      <c r="L19" s="20"/>
      <c r="M19" s="21"/>
      <c r="N19" s="20"/>
    </row>
    <row r="20" spans="1:14" ht="18" customHeight="1">
      <c r="A20" s="56"/>
      <c r="B20" s="20"/>
      <c r="C20" s="56"/>
      <c r="D20" s="20"/>
      <c r="E20" s="56"/>
      <c r="F20" s="20"/>
      <c r="G20" s="56"/>
      <c r="H20" s="20"/>
      <c r="I20" s="56"/>
      <c r="J20" s="20"/>
      <c r="K20" s="56"/>
      <c r="L20" s="20"/>
      <c r="M20" s="56"/>
      <c r="N20" s="20"/>
    </row>
    <row r="21" spans="1:14" ht="18" customHeight="1">
      <c r="A21" s="23"/>
      <c r="B21" s="20"/>
      <c r="C21" s="22"/>
      <c r="D21" s="20"/>
      <c r="E21" s="23"/>
      <c r="F21" s="20"/>
      <c r="G21" s="22"/>
      <c r="H21" s="20"/>
      <c r="I21" s="22"/>
      <c r="J21" s="20"/>
      <c r="K21" s="22"/>
      <c r="L21" s="20"/>
      <c r="M21" s="22"/>
      <c r="N21" s="20"/>
    </row>
    <row r="22" spans="1:14" ht="18" customHeight="1">
      <c r="A22" s="25"/>
      <c r="B22" s="20"/>
      <c r="C22" s="25"/>
      <c r="D22" s="20"/>
      <c r="E22" s="25"/>
      <c r="F22" s="20"/>
      <c r="G22" s="25"/>
      <c r="H22" s="20"/>
      <c r="I22" s="25"/>
      <c r="J22" s="20"/>
      <c r="K22" s="25"/>
      <c r="L22" s="20"/>
      <c r="M22" s="25"/>
      <c r="N22" s="20"/>
    </row>
    <row r="23" spans="1:14" ht="18" customHeight="1">
      <c r="A23" s="58"/>
      <c r="B23" s="24"/>
      <c r="C23" s="58"/>
      <c r="D23" s="24"/>
      <c r="E23" s="58"/>
      <c r="F23" s="24"/>
      <c r="G23" s="58"/>
      <c r="H23" s="24"/>
      <c r="I23" s="58"/>
      <c r="J23" s="24"/>
      <c r="K23" s="58"/>
      <c r="L23" s="24"/>
      <c r="M23" s="58"/>
      <c r="N23" s="24"/>
    </row>
    <row r="24" spans="1:14" ht="18" customHeight="1">
      <c r="A24" s="2">
        <f>M15+1</f>
        <v>46279</v>
      </c>
      <c r="B24" s="3"/>
      <c r="C24" s="2">
        <f>A24+1</f>
        <v>46280</v>
      </c>
      <c r="D24" s="3"/>
      <c r="E24" s="2">
        <f>C24+1</f>
        <v>46281</v>
      </c>
      <c r="F24" s="3"/>
      <c r="G24" s="2">
        <f>E24+1</f>
        <v>46282</v>
      </c>
      <c r="H24" s="3"/>
      <c r="I24" s="2">
        <f>G24+1</f>
        <v>46283</v>
      </c>
      <c r="J24" s="3"/>
      <c r="K24" s="4">
        <f>I24+1</f>
        <v>46284</v>
      </c>
      <c r="L24" s="5"/>
      <c r="M24" s="4">
        <f>K24+1</f>
        <v>46285</v>
      </c>
      <c r="N24" s="5"/>
    </row>
    <row r="25" spans="1:14" ht="18" customHeight="1">
      <c r="A25" s="29" t="s">
        <v>178</v>
      </c>
      <c r="B25" s="20"/>
      <c r="C25" s="29" t="s">
        <v>178</v>
      </c>
      <c r="D25" s="20"/>
      <c r="E25" s="29" t="s">
        <v>178</v>
      </c>
      <c r="F25" s="20"/>
      <c r="G25" s="29" t="s">
        <v>178</v>
      </c>
      <c r="H25" s="20"/>
      <c r="I25" s="29" t="s">
        <v>178</v>
      </c>
      <c r="J25" s="20"/>
      <c r="K25" s="29" t="s">
        <v>194</v>
      </c>
      <c r="L25" s="20"/>
      <c r="M25" s="29" t="s">
        <v>209</v>
      </c>
      <c r="N25" s="20"/>
    </row>
    <row r="26" spans="1:14" ht="18" customHeight="1">
      <c r="A26" s="27" t="s">
        <v>207</v>
      </c>
      <c r="B26" s="20"/>
      <c r="C26" s="27" t="s">
        <v>207</v>
      </c>
      <c r="D26" s="20"/>
      <c r="E26" s="27" t="s">
        <v>207</v>
      </c>
      <c r="F26" s="20"/>
      <c r="G26" s="27" t="s">
        <v>207</v>
      </c>
      <c r="H26" s="20"/>
      <c r="I26" s="27" t="s">
        <v>207</v>
      </c>
      <c r="J26" s="20"/>
      <c r="K26" s="26"/>
      <c r="L26" s="20"/>
      <c r="M26" s="26"/>
      <c r="N26" s="20"/>
    </row>
    <row r="27" spans="1:14" ht="18" customHeight="1">
      <c r="A27" s="19" t="s">
        <v>188</v>
      </c>
      <c r="B27" s="20"/>
      <c r="C27" s="19" t="s">
        <v>188</v>
      </c>
      <c r="D27" s="20"/>
      <c r="E27" s="19" t="s">
        <v>188</v>
      </c>
      <c r="F27" s="20"/>
      <c r="G27" s="19" t="s">
        <v>188</v>
      </c>
      <c r="H27" s="20"/>
      <c r="I27" s="19" t="s">
        <v>188</v>
      </c>
      <c r="J27" s="20"/>
      <c r="K27" s="19" t="s">
        <v>188</v>
      </c>
      <c r="L27" s="20"/>
      <c r="M27" s="19" t="s">
        <v>188</v>
      </c>
      <c r="N27" s="20"/>
    </row>
    <row r="28" spans="1:14" ht="18" customHeight="1">
      <c r="A28" s="21" t="s">
        <v>189</v>
      </c>
      <c r="B28" s="20"/>
      <c r="C28" s="21" t="s">
        <v>189</v>
      </c>
      <c r="D28" s="20"/>
      <c r="E28" s="21" t="s">
        <v>189</v>
      </c>
      <c r="F28" s="20"/>
      <c r="G28" s="21" t="s">
        <v>189</v>
      </c>
      <c r="H28" s="20"/>
      <c r="I28" s="21" t="s">
        <v>189</v>
      </c>
      <c r="J28" s="20"/>
      <c r="K28" s="21"/>
      <c r="L28" s="20"/>
      <c r="M28" s="21"/>
      <c r="N28" s="20"/>
    </row>
    <row r="29" spans="1:14" ht="18" customHeight="1">
      <c r="A29" s="56"/>
      <c r="B29" s="20"/>
      <c r="C29" s="56"/>
      <c r="D29" s="20"/>
      <c r="E29" s="56"/>
      <c r="F29" s="20"/>
      <c r="G29" s="56"/>
      <c r="H29" s="20"/>
      <c r="I29" s="56"/>
      <c r="J29" s="20"/>
      <c r="K29" s="56"/>
      <c r="L29" s="20"/>
      <c r="M29" s="56"/>
      <c r="N29" s="20"/>
    </row>
    <row r="30" spans="1:14" ht="18" customHeight="1">
      <c r="A30" s="23"/>
      <c r="B30" s="20"/>
      <c r="C30" s="22"/>
      <c r="D30" s="20"/>
      <c r="E30" s="23"/>
      <c r="F30" s="20"/>
      <c r="G30" s="22"/>
      <c r="H30" s="20"/>
      <c r="I30" s="22"/>
      <c r="J30" s="20"/>
      <c r="K30" s="22"/>
      <c r="L30" s="20"/>
      <c r="M30" s="22"/>
      <c r="N30" s="20"/>
    </row>
    <row r="31" spans="1:14" ht="18" customHeight="1">
      <c r="A31" s="25"/>
      <c r="B31" s="20"/>
      <c r="C31" s="25"/>
      <c r="D31" s="20"/>
      <c r="E31" s="25"/>
      <c r="F31" s="20"/>
      <c r="G31" s="25"/>
      <c r="H31" s="20"/>
      <c r="I31" s="25"/>
      <c r="J31" s="20"/>
      <c r="K31" s="25"/>
      <c r="L31" s="20"/>
      <c r="M31" s="25"/>
      <c r="N31" s="20"/>
    </row>
    <row r="32" spans="1:14" ht="18" customHeight="1">
      <c r="A32" s="58"/>
      <c r="B32" s="24"/>
      <c r="C32" s="58"/>
      <c r="D32" s="24"/>
      <c r="E32" s="58"/>
      <c r="F32" s="24"/>
      <c r="G32" s="58"/>
      <c r="H32" s="24"/>
      <c r="I32" s="58"/>
      <c r="J32" s="24"/>
      <c r="K32" s="58"/>
      <c r="L32" s="24"/>
      <c r="M32" s="58"/>
      <c r="N32" s="24"/>
    </row>
    <row r="33" spans="1:14" ht="18" customHeight="1">
      <c r="A33" s="2">
        <f>M24+1</f>
        <v>46286</v>
      </c>
      <c r="B33" s="3"/>
      <c r="C33" s="2">
        <f>A33+1</f>
        <v>46287</v>
      </c>
      <c r="D33" s="3"/>
      <c r="E33" s="2">
        <f>C33+1</f>
        <v>46288</v>
      </c>
      <c r="F33" s="3"/>
      <c r="G33" s="2">
        <f>E33+1</f>
        <v>46289</v>
      </c>
      <c r="H33" s="3"/>
      <c r="I33" s="2">
        <f>G33+1</f>
        <v>46290</v>
      </c>
      <c r="J33" s="3"/>
      <c r="K33" s="4">
        <f>I33+1</f>
        <v>46291</v>
      </c>
      <c r="L33" s="5"/>
      <c r="M33" s="4">
        <f>K33+1</f>
        <v>46292</v>
      </c>
      <c r="N33" s="5"/>
    </row>
    <row r="34" spans="1:14" ht="18" customHeight="1">
      <c r="A34" s="29" t="s">
        <v>174</v>
      </c>
      <c r="B34" s="20"/>
      <c r="C34" s="29" t="s">
        <v>174</v>
      </c>
      <c r="D34" s="20"/>
      <c r="E34" s="29" t="s">
        <v>174</v>
      </c>
      <c r="F34" s="20"/>
      <c r="G34" s="29" t="s">
        <v>174</v>
      </c>
      <c r="H34" s="20"/>
      <c r="I34" s="29" t="s">
        <v>174</v>
      </c>
      <c r="J34" s="20"/>
      <c r="K34" s="29" t="s">
        <v>174</v>
      </c>
      <c r="L34" s="20"/>
      <c r="M34" s="29" t="s">
        <v>174</v>
      </c>
      <c r="N34" s="20"/>
    </row>
    <row r="35" spans="1:14" ht="18" customHeight="1">
      <c r="A35" s="27" t="s">
        <v>201</v>
      </c>
      <c r="B35" s="20"/>
      <c r="C35" s="27" t="s">
        <v>201</v>
      </c>
      <c r="D35" s="20"/>
      <c r="E35" s="27" t="s">
        <v>201</v>
      </c>
      <c r="F35" s="20"/>
      <c r="G35" s="27" t="s">
        <v>201</v>
      </c>
      <c r="H35" s="20"/>
      <c r="I35" s="27" t="s">
        <v>201</v>
      </c>
      <c r="J35" s="20"/>
      <c r="K35" s="26"/>
      <c r="L35" s="20"/>
      <c r="M35" s="26"/>
      <c r="N35" s="20"/>
    </row>
    <row r="36" spans="1:14" ht="18" customHeight="1">
      <c r="A36" s="19" t="s">
        <v>187</v>
      </c>
      <c r="B36" s="20"/>
      <c r="C36" s="19" t="s">
        <v>187</v>
      </c>
      <c r="D36" s="20"/>
      <c r="E36" s="19" t="s">
        <v>187</v>
      </c>
      <c r="F36" s="20"/>
      <c r="G36" s="19" t="s">
        <v>187</v>
      </c>
      <c r="H36" s="20"/>
      <c r="I36" s="19" t="s">
        <v>187</v>
      </c>
      <c r="J36" s="20"/>
      <c r="K36" s="19" t="s">
        <v>187</v>
      </c>
      <c r="L36" s="20"/>
      <c r="M36" s="19" t="s">
        <v>187</v>
      </c>
      <c r="N36" s="20"/>
    </row>
    <row r="37" spans="1:14" ht="18" customHeight="1">
      <c r="A37" s="21" t="s">
        <v>202</v>
      </c>
      <c r="B37" s="20"/>
      <c r="C37" s="21" t="s">
        <v>202</v>
      </c>
      <c r="D37" s="20"/>
      <c r="E37" s="21" t="s">
        <v>202</v>
      </c>
      <c r="F37" s="20"/>
      <c r="G37" s="21" t="s">
        <v>202</v>
      </c>
      <c r="H37" s="20"/>
      <c r="I37" s="21" t="s">
        <v>202</v>
      </c>
      <c r="J37" s="20"/>
      <c r="K37" s="30"/>
      <c r="L37" s="20"/>
      <c r="M37" s="30"/>
      <c r="N37" s="20"/>
    </row>
    <row r="38" spans="1:14" ht="18" customHeight="1">
      <c r="A38" s="56"/>
      <c r="B38" s="20"/>
      <c r="C38" s="56"/>
      <c r="D38" s="20"/>
      <c r="E38" s="56"/>
      <c r="F38" s="20"/>
      <c r="G38" s="56"/>
      <c r="H38" s="20"/>
      <c r="I38" s="56"/>
      <c r="J38" s="20"/>
      <c r="K38" s="56"/>
      <c r="L38" s="20"/>
      <c r="M38" s="56"/>
      <c r="N38" s="20"/>
    </row>
    <row r="39" spans="1:14" ht="18" customHeight="1">
      <c r="A39" s="23"/>
      <c r="B39" s="20"/>
      <c r="C39" s="22"/>
      <c r="D39" s="20"/>
      <c r="E39" s="23"/>
      <c r="F39" s="20"/>
      <c r="G39" s="22"/>
      <c r="H39" s="20"/>
      <c r="I39" s="22"/>
      <c r="J39" s="20"/>
      <c r="K39" s="22"/>
      <c r="L39" s="20"/>
      <c r="M39" s="22"/>
      <c r="N39" s="20"/>
    </row>
    <row r="40" spans="1:14" ht="18" customHeight="1">
      <c r="A40" s="25"/>
      <c r="B40" s="20"/>
      <c r="C40" s="25"/>
      <c r="D40" s="20"/>
      <c r="E40" s="25"/>
      <c r="F40" s="20"/>
      <c r="G40" s="25"/>
      <c r="H40" s="20"/>
      <c r="I40" s="25"/>
      <c r="J40" s="20"/>
      <c r="K40" s="25"/>
      <c r="L40" s="20"/>
      <c r="M40" s="25"/>
      <c r="N40" s="20"/>
    </row>
    <row r="41" spans="1:14" ht="18" customHeight="1">
      <c r="A41" s="58"/>
      <c r="B41" s="24"/>
      <c r="C41" s="58"/>
      <c r="D41" s="24"/>
      <c r="E41" s="58"/>
      <c r="F41" s="24"/>
      <c r="G41" s="58"/>
      <c r="H41" s="24"/>
      <c r="I41" s="58"/>
      <c r="J41" s="24"/>
      <c r="K41" s="58"/>
      <c r="L41" s="24"/>
      <c r="M41" s="58"/>
      <c r="N41" s="24"/>
    </row>
    <row r="42" spans="1:14" ht="18" customHeight="1">
      <c r="A42" s="2">
        <f>IF(M33="","",IF(MONTH(M33+1)&lt;&gt;MONTH($A$1),"",M33+1))</f>
        <v>46293</v>
      </c>
      <c r="B42" s="3"/>
      <c r="C42" s="2">
        <f>IF(A42="","",IF(MONTH(A42+1)&lt;&gt;MONTH($A$1),"",A42+1))</f>
        <v>46294</v>
      </c>
      <c r="D42" s="3"/>
      <c r="E42" s="2">
        <v>1</v>
      </c>
      <c r="F42" s="3"/>
      <c r="G42" s="2">
        <v>2</v>
      </c>
      <c r="H42" s="3"/>
      <c r="I42" s="2">
        <v>3</v>
      </c>
      <c r="J42" s="3"/>
      <c r="K42" s="4">
        <v>4</v>
      </c>
      <c r="L42" s="5"/>
      <c r="M42" s="4">
        <v>5</v>
      </c>
      <c r="N42" s="5"/>
    </row>
    <row r="43" spans="1:14" ht="18" customHeight="1">
      <c r="A43" s="29" t="s">
        <v>199</v>
      </c>
      <c r="B43" s="20"/>
      <c r="C43" s="29" t="s">
        <v>199</v>
      </c>
      <c r="D43" s="20"/>
      <c r="E43" s="29" t="s">
        <v>199</v>
      </c>
      <c r="F43" s="20"/>
      <c r="G43" s="29" t="s">
        <v>199</v>
      </c>
      <c r="H43" s="20"/>
      <c r="I43" s="29" t="s">
        <v>199</v>
      </c>
      <c r="J43" s="20"/>
      <c r="K43" s="29" t="s">
        <v>199</v>
      </c>
      <c r="L43" s="20"/>
      <c r="M43" s="29" t="s">
        <v>199</v>
      </c>
      <c r="N43" s="20"/>
    </row>
    <row r="44" spans="1:14" ht="18" customHeight="1">
      <c r="A44" s="27" t="s">
        <v>194</v>
      </c>
      <c r="B44" s="20"/>
      <c r="C44" s="27" t="s">
        <v>194</v>
      </c>
      <c r="D44" s="20"/>
      <c r="E44" s="27" t="s">
        <v>194</v>
      </c>
      <c r="F44" s="20"/>
      <c r="G44" s="27" t="s">
        <v>194</v>
      </c>
      <c r="H44" s="20"/>
      <c r="I44" s="27" t="s">
        <v>194</v>
      </c>
      <c r="J44" s="20"/>
      <c r="K44" s="26"/>
      <c r="L44" s="20"/>
      <c r="M44" s="26"/>
      <c r="N44" s="20"/>
    </row>
    <row r="45" spans="1:14" ht="18" customHeight="1">
      <c r="A45" s="19" t="s">
        <v>176</v>
      </c>
      <c r="B45" s="20"/>
      <c r="C45" s="19" t="s">
        <v>176</v>
      </c>
      <c r="D45" s="20"/>
      <c r="E45" s="19" t="s">
        <v>176</v>
      </c>
      <c r="F45" s="20"/>
      <c r="G45" s="19" t="s">
        <v>176</v>
      </c>
      <c r="H45" s="20"/>
      <c r="I45" s="19" t="s">
        <v>176</v>
      </c>
      <c r="J45" s="20"/>
      <c r="K45" s="19" t="s">
        <v>176</v>
      </c>
      <c r="L45" s="20"/>
      <c r="M45" s="19" t="s">
        <v>176</v>
      </c>
      <c r="N45" s="20"/>
    </row>
    <row r="46" spans="1:14" ht="18" customHeight="1">
      <c r="A46" s="21" t="s">
        <v>177</v>
      </c>
      <c r="B46" s="20"/>
      <c r="C46" s="21" t="s">
        <v>177</v>
      </c>
      <c r="D46" s="20"/>
      <c r="E46" s="21" t="s">
        <v>177</v>
      </c>
      <c r="F46" s="20"/>
      <c r="G46" s="21" t="s">
        <v>177</v>
      </c>
      <c r="H46" s="20"/>
      <c r="I46" s="21" t="s">
        <v>177</v>
      </c>
      <c r="J46" s="20"/>
      <c r="K46" s="30"/>
      <c r="L46" s="20"/>
      <c r="M46" s="30"/>
      <c r="N46" s="20"/>
    </row>
    <row r="47" spans="1:14" ht="18" customHeight="1">
      <c r="A47" s="56"/>
      <c r="B47" s="20"/>
      <c r="C47" s="56"/>
      <c r="D47" s="20"/>
      <c r="E47" s="56"/>
      <c r="F47" s="20"/>
      <c r="G47" s="56"/>
      <c r="H47" s="20"/>
      <c r="I47" s="56"/>
      <c r="J47" s="20"/>
      <c r="K47" s="57"/>
      <c r="L47" s="20"/>
      <c r="M47" s="57"/>
      <c r="N47" s="20"/>
    </row>
    <row r="48" spans="1:14" ht="18" customHeight="1">
      <c r="A48" s="23"/>
      <c r="B48" s="20"/>
      <c r="C48" s="22"/>
      <c r="D48" s="20"/>
      <c r="E48" s="23"/>
      <c r="F48" s="20"/>
      <c r="G48" s="22"/>
      <c r="H48" s="20"/>
      <c r="I48" s="22"/>
      <c r="J48" s="20"/>
      <c r="K48" s="22"/>
      <c r="L48" s="20"/>
      <c r="M48" s="22"/>
      <c r="N48" s="20"/>
    </row>
    <row r="49" spans="1:14" ht="18" customHeight="1">
      <c r="A49" s="25"/>
      <c r="B49" s="20"/>
      <c r="C49" s="25"/>
      <c r="D49" s="20"/>
      <c r="E49" s="25"/>
      <c r="F49" s="20"/>
      <c r="G49" s="25"/>
      <c r="H49" s="20"/>
      <c r="I49" s="25"/>
      <c r="J49" s="20"/>
      <c r="K49" s="25"/>
      <c r="L49" s="20"/>
      <c r="M49" s="25"/>
      <c r="N49" s="20"/>
    </row>
    <row r="50" spans="1:14" ht="18" customHeight="1">
      <c r="A50" s="58"/>
      <c r="B50" s="24"/>
      <c r="C50" s="58"/>
      <c r="D50" s="24"/>
      <c r="E50" s="58"/>
      <c r="F50" s="24"/>
      <c r="G50" s="58"/>
      <c r="H50" s="24"/>
      <c r="I50" s="58"/>
      <c r="J50" s="24"/>
      <c r="K50" s="58"/>
      <c r="L50" s="24"/>
      <c r="M50" s="58"/>
      <c r="N50" s="24"/>
    </row>
    <row r="51" spans="1:14" ht="18" customHeight="1">
      <c r="A51" s="2"/>
      <c r="B51" s="3"/>
      <c r="C51" s="2"/>
      <c r="D51" s="3"/>
      <c r="E51" s="46" t="s">
        <v>22</v>
      </c>
      <c r="F51" s="47"/>
      <c r="G51" s="48"/>
      <c r="H51" s="47"/>
      <c r="I51" s="47"/>
      <c r="J51" s="47"/>
      <c r="K51" s="47"/>
      <c r="L51" s="47"/>
      <c r="M51" s="47"/>
      <c r="N51" s="49"/>
    </row>
    <row r="52" spans="1:14" ht="18" customHeight="1">
      <c r="A52" s="29"/>
      <c r="B52" s="20"/>
      <c r="C52" s="44"/>
      <c r="D52" s="20"/>
      <c r="E52" s="45"/>
      <c r="F52" s="37"/>
      <c r="G52" s="37"/>
      <c r="H52" s="37"/>
      <c r="I52" s="37"/>
      <c r="J52" s="37"/>
      <c r="K52" s="37"/>
      <c r="L52" s="37"/>
      <c r="M52" s="37"/>
      <c r="N52" s="20"/>
    </row>
    <row r="53" spans="1:14" ht="18" customHeight="1">
      <c r="A53" s="27"/>
      <c r="B53" s="20"/>
      <c r="C53" s="26"/>
      <c r="D53" s="20"/>
      <c r="E53" s="45"/>
      <c r="F53" s="37"/>
      <c r="G53" s="37"/>
      <c r="H53" s="37"/>
      <c r="I53" s="37"/>
      <c r="J53" s="37"/>
      <c r="K53" s="37"/>
      <c r="L53" s="37"/>
      <c r="M53" s="37"/>
      <c r="N53" s="20"/>
    </row>
    <row r="54" spans="1:14" ht="18" customHeight="1">
      <c r="A54" s="19"/>
      <c r="B54" s="20"/>
      <c r="C54" s="35"/>
      <c r="D54" s="20"/>
      <c r="E54" s="45"/>
      <c r="F54" s="37"/>
      <c r="G54" s="37"/>
      <c r="H54" s="37"/>
      <c r="I54" s="37"/>
      <c r="J54" s="37"/>
      <c r="K54" s="37"/>
      <c r="L54" s="37"/>
      <c r="M54" s="37"/>
      <c r="N54" s="20"/>
    </row>
    <row r="55" spans="1:14" ht="18" customHeight="1">
      <c r="A55" s="21"/>
      <c r="B55" s="20"/>
      <c r="C55" s="30"/>
      <c r="D55" s="20"/>
      <c r="E55" s="6"/>
      <c r="F55" s="7"/>
      <c r="G55" s="7"/>
      <c r="H55" s="7"/>
      <c r="I55" s="7"/>
      <c r="J55" s="7"/>
      <c r="K55" s="7"/>
      <c r="L55" s="7"/>
      <c r="M55" s="7"/>
      <c r="N55" s="8"/>
    </row>
    <row r="56" spans="1:14" ht="18" customHeight="1">
      <c r="A56" s="56"/>
      <c r="B56" s="20"/>
      <c r="C56" s="57"/>
      <c r="D56" s="20"/>
      <c r="E56" s="6"/>
      <c r="F56" s="7"/>
      <c r="G56" s="7"/>
      <c r="H56" s="7"/>
      <c r="I56" s="7"/>
      <c r="J56" s="7"/>
      <c r="K56" s="7"/>
      <c r="L56" s="7"/>
      <c r="M56" s="7"/>
      <c r="N56" s="8"/>
    </row>
    <row r="57" spans="1:14" ht="18" customHeight="1">
      <c r="A57" s="23"/>
      <c r="B57" s="20"/>
      <c r="C57" s="22"/>
      <c r="D57" s="20"/>
      <c r="E57" s="6"/>
      <c r="F57" s="7"/>
      <c r="G57" s="7"/>
      <c r="H57" s="7"/>
      <c r="I57" s="7"/>
      <c r="J57" s="7"/>
      <c r="K57" s="7"/>
      <c r="L57" s="7"/>
      <c r="M57" s="7"/>
      <c r="N57" s="8"/>
    </row>
    <row r="58" spans="1:14" ht="18" customHeight="1">
      <c r="A58" s="25"/>
      <c r="B58" s="20"/>
      <c r="C58" s="31"/>
      <c r="D58" s="24"/>
      <c r="E58" s="32" t="s">
        <v>23</v>
      </c>
      <c r="F58" s="33"/>
      <c r="G58" s="33"/>
      <c r="H58" s="33"/>
      <c r="I58" s="34" t="str">
        <f>HYPERLINK("https://www.vertex42.com/calendars/academic-calendar.html","https://www.vertex42.com/calendars/academic-calendar.html")</f>
        <v>https://www.vertex42.com/calendars/academic-calendar.html</v>
      </c>
      <c r="J58" s="33"/>
      <c r="K58" s="33"/>
      <c r="L58" s="33"/>
      <c r="M58" s="33"/>
      <c r="N58" s="24"/>
    </row>
  </sheetData>
  <mergeCells count="319">
    <mergeCell ref="M41:N41"/>
    <mergeCell ref="C23:D23"/>
    <mergeCell ref="M14:N14"/>
    <mergeCell ref="I45:J45"/>
    <mergeCell ref="K45:L45"/>
    <mergeCell ref="M45:N45"/>
    <mergeCell ref="M18:N18"/>
    <mergeCell ref="K19:L19"/>
    <mergeCell ref="M19:N19"/>
    <mergeCell ref="K20:L20"/>
    <mergeCell ref="M20:N20"/>
    <mergeCell ref="K21:L21"/>
    <mergeCell ref="M21:N21"/>
    <mergeCell ref="K25:L25"/>
    <mergeCell ref="M25:N25"/>
    <mergeCell ref="K26:L26"/>
    <mergeCell ref="M26:N26"/>
    <mergeCell ref="M22:N22"/>
    <mergeCell ref="K22:L22"/>
    <mergeCell ref="M44:N44"/>
    <mergeCell ref="M23:N23"/>
    <mergeCell ref="I22:J22"/>
    <mergeCell ref="I20:J20"/>
    <mergeCell ref="M43:N43"/>
    <mergeCell ref="E20:F20"/>
    <mergeCell ref="G20:H20"/>
    <mergeCell ref="E17:F17"/>
    <mergeCell ref="E18:F18"/>
    <mergeCell ref="G18:H18"/>
    <mergeCell ref="I26:J26"/>
    <mergeCell ref="I17:J17"/>
    <mergeCell ref="I18:J18"/>
    <mergeCell ref="I19:J19"/>
    <mergeCell ref="M17:N17"/>
    <mergeCell ref="K18:L18"/>
    <mergeCell ref="G41:H41"/>
    <mergeCell ref="G43:H43"/>
    <mergeCell ref="E43:F43"/>
    <mergeCell ref="M32:N32"/>
    <mergeCell ref="M31:N31"/>
    <mergeCell ref="M30:N30"/>
    <mergeCell ref="K38:L38"/>
    <mergeCell ref="M38:N38"/>
    <mergeCell ref="I43:J43"/>
    <mergeCell ref="K43:L43"/>
    <mergeCell ref="K41:L41"/>
    <mergeCell ref="K39:L39"/>
    <mergeCell ref="M39:N39"/>
    <mergeCell ref="I38:J38"/>
    <mergeCell ref="G39:H39"/>
    <mergeCell ref="G19:H19"/>
    <mergeCell ref="E21:F21"/>
    <mergeCell ref="G21:H21"/>
    <mergeCell ref="G22:H22"/>
    <mergeCell ref="G23:H23"/>
    <mergeCell ref="E19:F19"/>
    <mergeCell ref="G25:H25"/>
    <mergeCell ref="G27:H27"/>
    <mergeCell ref="E31:F31"/>
    <mergeCell ref="C31:D31"/>
    <mergeCell ref="G35:H35"/>
    <mergeCell ref="C35:D35"/>
    <mergeCell ref="C36:D36"/>
    <mergeCell ref="G36:H36"/>
    <mergeCell ref="I29:J29"/>
    <mergeCell ref="K31:L31"/>
    <mergeCell ref="K32:L32"/>
    <mergeCell ref="M37:N37"/>
    <mergeCell ref="I27:J27"/>
    <mergeCell ref="K27:L27"/>
    <mergeCell ref="M27:N27"/>
    <mergeCell ref="I28:J28"/>
    <mergeCell ref="K28:L28"/>
    <mergeCell ref="M28:N28"/>
    <mergeCell ref="K36:L36"/>
    <mergeCell ref="M36:N36"/>
    <mergeCell ref="K29:L29"/>
    <mergeCell ref="M29:N29"/>
    <mergeCell ref="A1:B1"/>
    <mergeCell ref="K1:N1"/>
    <mergeCell ref="A2:N2"/>
    <mergeCell ref="E3:F3"/>
    <mergeCell ref="A40:B40"/>
    <mergeCell ref="A41:B41"/>
    <mergeCell ref="E37:F37"/>
    <mergeCell ref="G37:H37"/>
    <mergeCell ref="C27:D27"/>
    <mergeCell ref="E27:F27"/>
    <mergeCell ref="C28:D28"/>
    <mergeCell ref="E39:F39"/>
    <mergeCell ref="E28:F28"/>
    <mergeCell ref="G28:H28"/>
    <mergeCell ref="C37:D37"/>
    <mergeCell ref="C38:D38"/>
    <mergeCell ref="E38:F38"/>
    <mergeCell ref="G31:H31"/>
    <mergeCell ref="C32:D32"/>
    <mergeCell ref="E32:F32"/>
    <mergeCell ref="G32:H32"/>
    <mergeCell ref="G34:H34"/>
    <mergeCell ref="I16:J16"/>
    <mergeCell ref="K16:L16"/>
    <mergeCell ref="M7:N7"/>
    <mergeCell ref="G10:H10"/>
    <mergeCell ref="K8:L8"/>
    <mergeCell ref="G8:H8"/>
    <mergeCell ref="M8:N8"/>
    <mergeCell ref="M9:N9"/>
    <mergeCell ref="I9:J9"/>
    <mergeCell ref="G3:H3"/>
    <mergeCell ref="E5:F5"/>
    <mergeCell ref="G5:H5"/>
    <mergeCell ref="I5:J5"/>
    <mergeCell ref="I8:J8"/>
    <mergeCell ref="M3:N3"/>
    <mergeCell ref="A4:N4"/>
    <mergeCell ref="I3:J3"/>
    <mergeCell ref="K3:L3"/>
    <mergeCell ref="A3:B3"/>
    <mergeCell ref="C3:D3"/>
    <mergeCell ref="C8:D8"/>
    <mergeCell ref="M5:N5"/>
    <mergeCell ref="C5:D5"/>
    <mergeCell ref="A5:B5"/>
    <mergeCell ref="K5:L5"/>
    <mergeCell ref="A8:B8"/>
    <mergeCell ref="A7:B7"/>
    <mergeCell ref="C7:D7"/>
    <mergeCell ref="E7:F7"/>
    <mergeCell ref="E8:F8"/>
    <mergeCell ref="A9:B9"/>
    <mergeCell ref="G11:H11"/>
    <mergeCell ref="I11:J11"/>
    <mergeCell ref="K11:L11"/>
    <mergeCell ref="K10:L10"/>
    <mergeCell ref="K9:L9"/>
    <mergeCell ref="G7:H7"/>
    <mergeCell ref="I7:J7"/>
    <mergeCell ref="K7:L7"/>
    <mergeCell ref="I10:J10"/>
    <mergeCell ref="M11:N11"/>
    <mergeCell ref="I14:J14"/>
    <mergeCell ref="K14:L14"/>
    <mergeCell ref="I40:J40"/>
    <mergeCell ref="K40:L40"/>
    <mergeCell ref="M40:N40"/>
    <mergeCell ref="I36:J36"/>
    <mergeCell ref="I34:J34"/>
    <mergeCell ref="I32:J32"/>
    <mergeCell ref="I35:J35"/>
    <mergeCell ref="K35:L35"/>
    <mergeCell ref="M35:N35"/>
    <mergeCell ref="K34:L34"/>
    <mergeCell ref="I37:J37"/>
    <mergeCell ref="K37:L37"/>
    <mergeCell ref="M34:N34"/>
    <mergeCell ref="I12:J12"/>
    <mergeCell ref="K12:L12"/>
    <mergeCell ref="M12:N12"/>
    <mergeCell ref="I13:J13"/>
    <mergeCell ref="I21:J21"/>
    <mergeCell ref="I25:J25"/>
    <mergeCell ref="M16:N16"/>
    <mergeCell ref="K17:L17"/>
    <mergeCell ref="K13:L13"/>
    <mergeCell ref="M13:N13"/>
    <mergeCell ref="M10:N10"/>
    <mergeCell ref="I23:J23"/>
    <mergeCell ref="K23:L23"/>
    <mergeCell ref="C12:D12"/>
    <mergeCell ref="C13:D13"/>
    <mergeCell ref="C9:D9"/>
    <mergeCell ref="C14:D14"/>
    <mergeCell ref="E14:F14"/>
    <mergeCell ref="G14:H14"/>
    <mergeCell ref="E16:F16"/>
    <mergeCell ref="E12:F12"/>
    <mergeCell ref="G12:H12"/>
    <mergeCell ref="E13:F13"/>
    <mergeCell ref="G13:H13"/>
    <mergeCell ref="E9:F9"/>
    <mergeCell ref="G9:H9"/>
    <mergeCell ref="C17:D17"/>
    <mergeCell ref="G17:H17"/>
    <mergeCell ref="C18:D18"/>
    <mergeCell ref="C19:D19"/>
    <mergeCell ref="C16:D16"/>
    <mergeCell ref="C20:D20"/>
    <mergeCell ref="A12:B12"/>
    <mergeCell ref="A13:B13"/>
    <mergeCell ref="A25:B25"/>
    <mergeCell ref="C25:D25"/>
    <mergeCell ref="E26:F26"/>
    <mergeCell ref="G26:H26"/>
    <mergeCell ref="A11:B11"/>
    <mergeCell ref="A10:B10"/>
    <mergeCell ref="C10:D10"/>
    <mergeCell ref="A14:B14"/>
    <mergeCell ref="G16:H16"/>
    <mergeCell ref="A26:B26"/>
    <mergeCell ref="A18:B18"/>
    <mergeCell ref="A19:B19"/>
    <mergeCell ref="A20:B20"/>
    <mergeCell ref="A21:B21"/>
    <mergeCell ref="A22:B22"/>
    <mergeCell ref="A23:B23"/>
    <mergeCell ref="A16:B16"/>
    <mergeCell ref="A17:B17"/>
    <mergeCell ref="C11:D11"/>
    <mergeCell ref="E11:F11"/>
    <mergeCell ref="E10:F10"/>
    <mergeCell ref="C21:D21"/>
    <mergeCell ref="C22:D22"/>
    <mergeCell ref="A38:B38"/>
    <mergeCell ref="A39:B39"/>
    <mergeCell ref="A27:B27"/>
    <mergeCell ref="A28:B28"/>
    <mergeCell ref="C41:D41"/>
    <mergeCell ref="E41:F41"/>
    <mergeCell ref="C39:D39"/>
    <mergeCell ref="A36:B36"/>
    <mergeCell ref="E22:F22"/>
    <mergeCell ref="E23:F23"/>
    <mergeCell ref="E25:F25"/>
    <mergeCell ref="C26:D26"/>
    <mergeCell ref="C55:D55"/>
    <mergeCell ref="E51:F51"/>
    <mergeCell ref="C52:D52"/>
    <mergeCell ref="C40:D40"/>
    <mergeCell ref="E40:F40"/>
    <mergeCell ref="G40:H40"/>
    <mergeCell ref="E45:F45"/>
    <mergeCell ref="G45:H45"/>
    <mergeCell ref="E44:F44"/>
    <mergeCell ref="C54:D54"/>
    <mergeCell ref="C45:D45"/>
    <mergeCell ref="G44:H44"/>
    <mergeCell ref="C58:D58"/>
    <mergeCell ref="A58:B58"/>
    <mergeCell ref="I58:N58"/>
    <mergeCell ref="A35:B35"/>
    <mergeCell ref="A37:B37"/>
    <mergeCell ref="C48:D48"/>
    <mergeCell ref="C49:D49"/>
    <mergeCell ref="G51:N51"/>
    <mergeCell ref="E52:N52"/>
    <mergeCell ref="E53:N53"/>
    <mergeCell ref="E54:N54"/>
    <mergeCell ref="I49:J49"/>
    <mergeCell ref="K49:L49"/>
    <mergeCell ref="C47:D47"/>
    <mergeCell ref="C50:D50"/>
    <mergeCell ref="E36:F36"/>
    <mergeCell ref="E35:F35"/>
    <mergeCell ref="E58:H58"/>
    <mergeCell ref="A55:B55"/>
    <mergeCell ref="C56:D56"/>
    <mergeCell ref="C57:D57"/>
    <mergeCell ref="A56:B56"/>
    <mergeCell ref="A57:B57"/>
    <mergeCell ref="C53:D53"/>
    <mergeCell ref="I44:J44"/>
    <mergeCell ref="K44:L44"/>
    <mergeCell ref="A34:B34"/>
    <mergeCell ref="A31:B31"/>
    <mergeCell ref="A32:B32"/>
    <mergeCell ref="E30:F30"/>
    <mergeCell ref="G30:H30"/>
    <mergeCell ref="C34:D34"/>
    <mergeCell ref="E34:F34"/>
    <mergeCell ref="I31:J31"/>
    <mergeCell ref="I30:J30"/>
    <mergeCell ref="K30:L30"/>
    <mergeCell ref="A30:B30"/>
    <mergeCell ref="C30:D30"/>
    <mergeCell ref="C43:D43"/>
    <mergeCell ref="C44:D44"/>
    <mergeCell ref="G38:H38"/>
    <mergeCell ref="A43:B43"/>
    <mergeCell ref="A44:B44"/>
    <mergeCell ref="I39:J39"/>
    <mergeCell ref="I41:J41"/>
    <mergeCell ref="A46:B46"/>
    <mergeCell ref="C46:D46"/>
    <mergeCell ref="E46:F46"/>
    <mergeCell ref="G46:H46"/>
    <mergeCell ref="A48:B48"/>
    <mergeCell ref="E48:F48"/>
    <mergeCell ref="A49:B49"/>
    <mergeCell ref="A29:B29"/>
    <mergeCell ref="C29:D29"/>
    <mergeCell ref="E29:F29"/>
    <mergeCell ref="G29:H29"/>
    <mergeCell ref="A47:B47"/>
    <mergeCell ref="A45:B45"/>
    <mergeCell ref="A54:B54"/>
    <mergeCell ref="A52:B52"/>
    <mergeCell ref="I46:J46"/>
    <mergeCell ref="K46:L46"/>
    <mergeCell ref="E50:F50"/>
    <mergeCell ref="I50:J50"/>
    <mergeCell ref="K50:L50"/>
    <mergeCell ref="M50:N50"/>
    <mergeCell ref="E47:F47"/>
    <mergeCell ref="G47:H47"/>
    <mergeCell ref="I47:J47"/>
    <mergeCell ref="K47:L47"/>
    <mergeCell ref="G48:H48"/>
    <mergeCell ref="I48:J48"/>
    <mergeCell ref="K48:L48"/>
    <mergeCell ref="M48:N48"/>
    <mergeCell ref="E49:F49"/>
    <mergeCell ref="G49:H49"/>
    <mergeCell ref="M46:N46"/>
    <mergeCell ref="M49:N49"/>
    <mergeCell ref="M47:N47"/>
    <mergeCell ref="A53:B53"/>
    <mergeCell ref="A50:B50"/>
    <mergeCell ref="G50:H50"/>
  </mergeCells>
  <printOptions horizontalCentered="1" gridLines="1"/>
  <pageMargins left="0.5" right="0.5" top="0.25" bottom="0.25" header="0" footer="0"/>
  <pageSetup scale="80" pageOrder="overThenDown" orientation="portrait" cellComments="atEnd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  <pageSetUpPr fitToPage="1"/>
  </sheetPr>
  <dimension ref="A1:N58"/>
  <sheetViews>
    <sheetView showGridLines="0" topLeftCell="A17" workbookViewId="0">
      <selection activeCell="A43" sqref="A43:N46"/>
    </sheetView>
  </sheetViews>
  <sheetFormatPr defaultColWidth="12.5703125" defaultRowHeight="12.75" customHeight="1"/>
  <cols>
    <col min="1" max="1" width="3.85546875" customWidth="1"/>
    <col min="2" max="2" width="13.42578125" customWidth="1"/>
    <col min="3" max="3" width="3.85546875" customWidth="1"/>
    <col min="4" max="4" width="13.42578125" customWidth="1"/>
    <col min="5" max="5" width="3.85546875" customWidth="1"/>
    <col min="6" max="6" width="13.42578125" customWidth="1"/>
    <col min="7" max="7" width="3.85546875" customWidth="1"/>
    <col min="8" max="8" width="13.42578125" customWidth="1"/>
    <col min="9" max="9" width="3.85546875" customWidth="1"/>
    <col min="10" max="10" width="15.42578125" customWidth="1"/>
    <col min="11" max="11" width="3.85546875" customWidth="1"/>
    <col min="12" max="12" width="13.42578125" customWidth="1"/>
    <col min="13" max="13" width="3.85546875" customWidth="1"/>
    <col min="14" max="14" width="13.42578125" customWidth="1"/>
  </cols>
  <sheetData>
    <row r="1" spans="1:14" ht="18" customHeight="1">
      <c r="A1" s="36">
        <f>EDATE('©'!A17,39)</f>
        <v>46296</v>
      </c>
      <c r="B1" s="37"/>
      <c r="C1" s="1"/>
      <c r="D1" s="1"/>
      <c r="E1" s="1"/>
      <c r="F1" s="1"/>
      <c r="G1" s="1"/>
      <c r="H1" s="1"/>
      <c r="I1" s="1"/>
      <c r="J1" s="1"/>
      <c r="K1" s="38" t="s">
        <v>0</v>
      </c>
      <c r="L1" s="37"/>
      <c r="M1" s="37"/>
      <c r="N1" s="37"/>
    </row>
    <row r="2" spans="1:14" ht="18" customHeight="1">
      <c r="A2" s="39" t="s">
        <v>166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1:14" ht="18" customHeight="1">
      <c r="A3" s="29" t="s">
        <v>167</v>
      </c>
      <c r="B3" s="37"/>
      <c r="C3" s="27" t="s">
        <v>168</v>
      </c>
      <c r="D3" s="37"/>
      <c r="E3" s="19" t="s">
        <v>169</v>
      </c>
      <c r="F3" s="37"/>
      <c r="G3" s="21" t="s">
        <v>170</v>
      </c>
      <c r="H3" s="37"/>
      <c r="I3" s="56" t="s">
        <v>171</v>
      </c>
      <c r="J3" s="37"/>
      <c r="K3" s="23" t="s">
        <v>172</v>
      </c>
      <c r="L3" s="37"/>
      <c r="M3" s="25" t="s">
        <v>173</v>
      </c>
      <c r="N3" s="37"/>
    </row>
    <row r="4" spans="1:14" ht="69" customHeight="1">
      <c r="A4" s="42" t="str">
        <f>UPPER(TEXT(A1,"mmmm yyyy"))</f>
        <v>OCTOBER 2026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</row>
    <row r="5" spans="1:14" ht="18" customHeight="1">
      <c r="A5" s="40">
        <f>A15</f>
        <v>46300</v>
      </c>
      <c r="B5" s="41"/>
      <c r="C5" s="40">
        <f>C15</f>
        <v>46301</v>
      </c>
      <c r="D5" s="41"/>
      <c r="E5" s="40">
        <f>E15</f>
        <v>46302</v>
      </c>
      <c r="F5" s="41"/>
      <c r="G5" s="40">
        <f>G15</f>
        <v>46303</v>
      </c>
      <c r="H5" s="41"/>
      <c r="I5" s="40">
        <f>I15</f>
        <v>46304</v>
      </c>
      <c r="J5" s="41"/>
      <c r="K5" s="40">
        <f>K15</f>
        <v>46305</v>
      </c>
      <c r="L5" s="41"/>
      <c r="M5" s="40">
        <f>M15</f>
        <v>46306</v>
      </c>
      <c r="N5" s="41"/>
    </row>
    <row r="6" spans="1:14" ht="18" customHeight="1">
      <c r="A6" s="2" t="str">
        <f>IF(WEEKDAY($A$1,1)=startday,$A$1,"")</f>
        <v/>
      </c>
      <c r="B6" s="3"/>
      <c r="C6" s="2" t="str">
        <f>IF(A6="",IF(WEEKDAY($A$1,1)=MOD(startday,7)+1,$A$1,""),A6+1)</f>
        <v/>
      </c>
      <c r="D6" s="3"/>
      <c r="E6" s="2" t="str">
        <f>IF(C6="",IF(WEEKDAY($A$1,1)=MOD(startday,7)+2,$A$1,""),C6+1)</f>
        <v/>
      </c>
      <c r="F6" s="3"/>
      <c r="G6" s="2">
        <f>IF(E6="",IF(WEEKDAY($A$1,1)=MOD(startday,7)+3,$A$1,""),E6+1)</f>
        <v>46296</v>
      </c>
      <c r="H6" s="3"/>
      <c r="I6" s="2">
        <f>IF(G6="",IF(WEEKDAY($A$1,1)=MOD(startday,7)+4,$A$1,""),G6+1)</f>
        <v>46297</v>
      </c>
      <c r="J6" s="3"/>
      <c r="K6" s="4">
        <f>IF(I6="",IF(WEEKDAY($A$1,1)=MOD(startday,7)+5,$A$1,""),I6+1)</f>
        <v>46298</v>
      </c>
      <c r="L6" s="5"/>
      <c r="M6" s="4">
        <f>IF(K6="",IF(WEEKDAY($A$1,1)=MOD(startday+5,7)+1,$A$1,""),K6+1)</f>
        <v>46299</v>
      </c>
      <c r="N6" s="5"/>
    </row>
    <row r="7" spans="1:14" ht="18" customHeight="1">
      <c r="A7" s="29" t="s">
        <v>199</v>
      </c>
      <c r="B7" s="20"/>
      <c r="C7" s="29" t="s">
        <v>199</v>
      </c>
      <c r="D7" s="20"/>
      <c r="E7" s="29" t="s">
        <v>199</v>
      </c>
      <c r="F7" s="20"/>
      <c r="G7" s="29" t="s">
        <v>199</v>
      </c>
      <c r="H7" s="20"/>
      <c r="I7" s="29" t="s">
        <v>199</v>
      </c>
      <c r="J7" s="20"/>
      <c r="K7" s="29" t="s">
        <v>199</v>
      </c>
      <c r="L7" s="20"/>
      <c r="M7" s="29" t="s">
        <v>199</v>
      </c>
      <c r="N7" s="20"/>
    </row>
    <row r="8" spans="1:14" ht="18" customHeight="1">
      <c r="A8" s="27" t="s">
        <v>194</v>
      </c>
      <c r="B8" s="20"/>
      <c r="C8" s="27" t="s">
        <v>194</v>
      </c>
      <c r="D8" s="20"/>
      <c r="E8" s="27" t="s">
        <v>194</v>
      </c>
      <c r="F8" s="20"/>
      <c r="G8" s="27" t="s">
        <v>194</v>
      </c>
      <c r="H8" s="20"/>
      <c r="I8" s="27" t="s">
        <v>194</v>
      </c>
      <c r="J8" s="20"/>
      <c r="K8" s="26"/>
      <c r="L8" s="20"/>
      <c r="M8" s="26"/>
      <c r="N8" s="20"/>
    </row>
    <row r="9" spans="1:14" ht="18" customHeight="1">
      <c r="A9" s="19" t="s">
        <v>176</v>
      </c>
      <c r="B9" s="20"/>
      <c r="C9" s="19" t="s">
        <v>176</v>
      </c>
      <c r="D9" s="20"/>
      <c r="E9" s="19" t="s">
        <v>176</v>
      </c>
      <c r="F9" s="20"/>
      <c r="G9" s="19" t="s">
        <v>176</v>
      </c>
      <c r="H9" s="20"/>
      <c r="I9" s="19" t="s">
        <v>176</v>
      </c>
      <c r="J9" s="20"/>
      <c r="K9" s="19" t="s">
        <v>176</v>
      </c>
      <c r="L9" s="20"/>
      <c r="M9" s="19" t="s">
        <v>176</v>
      </c>
      <c r="N9" s="20"/>
    </row>
    <row r="10" spans="1:14" ht="18" customHeight="1">
      <c r="A10" s="21" t="s">
        <v>177</v>
      </c>
      <c r="B10" s="20"/>
      <c r="C10" s="21" t="s">
        <v>177</v>
      </c>
      <c r="D10" s="20"/>
      <c r="E10" s="21" t="s">
        <v>177</v>
      </c>
      <c r="F10" s="20"/>
      <c r="G10" s="21" t="s">
        <v>177</v>
      </c>
      <c r="H10" s="20"/>
      <c r="I10" s="21" t="s">
        <v>177</v>
      </c>
      <c r="J10" s="20"/>
      <c r="K10" s="30"/>
      <c r="L10" s="20"/>
      <c r="M10" s="30"/>
      <c r="N10" s="20"/>
    </row>
    <row r="11" spans="1:14" ht="18" customHeight="1">
      <c r="A11" s="56"/>
      <c r="B11" s="20"/>
      <c r="C11" s="57"/>
      <c r="D11" s="20"/>
      <c r="E11" s="56"/>
      <c r="F11" s="20"/>
      <c r="G11" s="56"/>
      <c r="H11" s="20"/>
      <c r="I11" s="56"/>
      <c r="J11" s="20"/>
      <c r="K11" s="56"/>
      <c r="L11" s="20"/>
      <c r="M11" s="56"/>
      <c r="N11" s="20"/>
    </row>
    <row r="12" spans="1:14" ht="18" customHeight="1">
      <c r="A12" s="23"/>
      <c r="B12" s="20"/>
      <c r="C12" s="22"/>
      <c r="D12" s="20"/>
      <c r="E12" s="23"/>
      <c r="F12" s="20"/>
      <c r="G12" s="22"/>
      <c r="H12" s="20"/>
      <c r="I12" s="22"/>
      <c r="J12" s="20"/>
      <c r="K12" s="22"/>
      <c r="L12" s="20"/>
      <c r="M12" s="22"/>
      <c r="N12" s="20"/>
    </row>
    <row r="13" spans="1:14" ht="18" customHeight="1">
      <c r="A13" s="25"/>
      <c r="B13" s="20"/>
      <c r="C13" s="25"/>
      <c r="D13" s="20"/>
      <c r="E13" s="25"/>
      <c r="F13" s="20"/>
      <c r="G13" s="25"/>
      <c r="H13" s="20"/>
      <c r="I13" s="25"/>
      <c r="J13" s="20"/>
      <c r="K13" s="25"/>
      <c r="L13" s="20"/>
      <c r="M13" s="25"/>
      <c r="N13" s="20"/>
    </row>
    <row r="14" spans="1:14" ht="18" customHeight="1">
      <c r="A14" s="58"/>
      <c r="B14" s="24"/>
      <c r="C14" s="58"/>
      <c r="D14" s="24"/>
      <c r="E14" s="58"/>
      <c r="F14" s="24"/>
      <c r="G14" s="58"/>
      <c r="H14" s="24"/>
      <c r="I14" s="58"/>
      <c r="J14" s="24"/>
      <c r="K14" s="58"/>
      <c r="L14" s="24"/>
      <c r="M14" s="58"/>
      <c r="N14" s="24"/>
    </row>
    <row r="15" spans="1:14" ht="18" customHeight="1">
      <c r="A15" s="2">
        <f>M6+1</f>
        <v>46300</v>
      </c>
      <c r="B15" s="3"/>
      <c r="C15" s="2">
        <f>A15+1</f>
        <v>46301</v>
      </c>
      <c r="D15" s="3"/>
      <c r="E15" s="2">
        <f>C15+1</f>
        <v>46302</v>
      </c>
      <c r="F15" s="3"/>
      <c r="G15" s="2">
        <f>E15+1</f>
        <v>46303</v>
      </c>
      <c r="H15" s="3"/>
      <c r="I15" s="2">
        <f>G15+1</f>
        <v>46304</v>
      </c>
      <c r="J15" s="3"/>
      <c r="K15" s="4">
        <f>I15+1</f>
        <v>46305</v>
      </c>
      <c r="L15" s="5"/>
      <c r="M15" s="4">
        <f>K15+1</f>
        <v>46306</v>
      </c>
      <c r="N15" s="5"/>
    </row>
    <row r="16" spans="1:14" ht="18" customHeight="1">
      <c r="A16" s="50" t="s">
        <v>175</v>
      </c>
      <c r="B16" s="51"/>
      <c r="C16" s="50" t="s">
        <v>175</v>
      </c>
      <c r="D16" s="51"/>
      <c r="E16" s="50" t="s">
        <v>175</v>
      </c>
      <c r="F16" s="51"/>
      <c r="G16" s="50" t="s">
        <v>175</v>
      </c>
      <c r="H16" s="51"/>
      <c r="I16" s="50" t="s">
        <v>175</v>
      </c>
      <c r="J16" s="51"/>
      <c r="K16" s="50" t="s">
        <v>175</v>
      </c>
      <c r="L16" s="51"/>
      <c r="M16" s="50" t="s">
        <v>175</v>
      </c>
      <c r="N16" s="51"/>
    </row>
    <row r="17" spans="1:14" ht="18" customHeight="1">
      <c r="A17" s="27" t="s">
        <v>186</v>
      </c>
      <c r="B17" s="28"/>
      <c r="C17" s="27" t="s">
        <v>186</v>
      </c>
      <c r="D17" s="28"/>
      <c r="E17" s="27" t="s">
        <v>186</v>
      </c>
      <c r="F17" s="28"/>
      <c r="G17" s="27" t="s">
        <v>186</v>
      </c>
      <c r="H17" s="28"/>
      <c r="I17" s="27" t="s">
        <v>186</v>
      </c>
      <c r="J17" s="28"/>
      <c r="K17" s="26"/>
      <c r="L17" s="20"/>
      <c r="M17" s="26"/>
      <c r="N17" s="20"/>
    </row>
    <row r="18" spans="1:14" ht="18" customHeight="1">
      <c r="A18" s="19" t="s">
        <v>177</v>
      </c>
      <c r="B18" s="20"/>
      <c r="C18" s="19" t="s">
        <v>177</v>
      </c>
      <c r="D18" s="20"/>
      <c r="E18" s="19" t="s">
        <v>177</v>
      </c>
      <c r="F18" s="20"/>
      <c r="G18" s="19" t="s">
        <v>177</v>
      </c>
      <c r="H18" s="20"/>
      <c r="I18" s="19" t="s">
        <v>177</v>
      </c>
      <c r="J18" s="20"/>
      <c r="K18" s="19" t="s">
        <v>177</v>
      </c>
      <c r="L18" s="20"/>
      <c r="M18" s="19" t="s">
        <v>177</v>
      </c>
      <c r="N18" s="20"/>
    </row>
    <row r="19" spans="1:14" ht="18" customHeight="1">
      <c r="A19" s="21" t="s">
        <v>206</v>
      </c>
      <c r="B19" s="20"/>
      <c r="C19" s="21" t="s">
        <v>206</v>
      </c>
      <c r="D19" s="20"/>
      <c r="E19" s="21" t="s">
        <v>206</v>
      </c>
      <c r="F19" s="20"/>
      <c r="G19" s="21" t="s">
        <v>206</v>
      </c>
      <c r="H19" s="20"/>
      <c r="I19" s="21" t="s">
        <v>206</v>
      </c>
      <c r="J19" s="20"/>
      <c r="K19" s="21"/>
      <c r="L19" s="20"/>
      <c r="M19" s="21"/>
      <c r="N19" s="20"/>
    </row>
    <row r="20" spans="1:14" ht="18" customHeight="1">
      <c r="A20" s="56"/>
      <c r="B20" s="20"/>
      <c r="C20" s="56"/>
      <c r="D20" s="20"/>
      <c r="E20" s="56"/>
      <c r="F20" s="20"/>
      <c r="G20" s="56"/>
      <c r="H20" s="20"/>
      <c r="I20" s="56"/>
      <c r="J20" s="20"/>
      <c r="K20" s="56"/>
      <c r="L20" s="20"/>
      <c r="M20" s="56"/>
      <c r="N20" s="20"/>
    </row>
    <row r="21" spans="1:14" ht="18" customHeight="1">
      <c r="A21" s="23"/>
      <c r="B21" s="20"/>
      <c r="C21" s="22"/>
      <c r="D21" s="20"/>
      <c r="E21" s="23"/>
      <c r="F21" s="20"/>
      <c r="G21" s="22"/>
      <c r="H21" s="20"/>
      <c r="I21" s="22"/>
      <c r="J21" s="20"/>
      <c r="K21" s="22"/>
      <c r="L21" s="20"/>
      <c r="M21" s="22"/>
      <c r="N21" s="20"/>
    </row>
    <row r="22" spans="1:14" ht="18" customHeight="1">
      <c r="A22" s="25"/>
      <c r="B22" s="20"/>
      <c r="C22" s="25"/>
      <c r="D22" s="20"/>
      <c r="E22" s="25"/>
      <c r="F22" s="20"/>
      <c r="G22" s="25"/>
      <c r="H22" s="20"/>
      <c r="I22" s="25"/>
      <c r="J22" s="20"/>
      <c r="K22" s="25"/>
      <c r="L22" s="20"/>
      <c r="M22" s="25"/>
      <c r="N22" s="20"/>
    </row>
    <row r="23" spans="1:14" ht="18" customHeight="1">
      <c r="A23" s="58"/>
      <c r="B23" s="24"/>
      <c r="C23" s="58"/>
      <c r="D23" s="24"/>
      <c r="E23" s="58"/>
      <c r="F23" s="24"/>
      <c r="G23" s="58"/>
      <c r="H23" s="24"/>
      <c r="I23" s="58"/>
      <c r="J23" s="24"/>
      <c r="K23" s="58"/>
      <c r="L23" s="24"/>
      <c r="M23" s="58"/>
      <c r="N23" s="24"/>
    </row>
    <row r="24" spans="1:14" ht="18" customHeight="1">
      <c r="A24" s="2">
        <f>M15+1</f>
        <v>46307</v>
      </c>
      <c r="B24" s="3"/>
      <c r="C24" s="2">
        <f>A24+1</f>
        <v>46308</v>
      </c>
      <c r="D24" s="3"/>
      <c r="E24" s="2">
        <f>C24+1</f>
        <v>46309</v>
      </c>
      <c r="F24" s="3"/>
      <c r="G24" s="2">
        <f>E24+1</f>
        <v>46310</v>
      </c>
      <c r="H24" s="3"/>
      <c r="I24" s="2">
        <f>G24+1</f>
        <v>46311</v>
      </c>
      <c r="J24" s="3"/>
      <c r="K24" s="4">
        <f>I24+1</f>
        <v>46312</v>
      </c>
      <c r="L24" s="5"/>
      <c r="M24" s="4">
        <f>K24+1</f>
        <v>46313</v>
      </c>
      <c r="N24" s="5"/>
    </row>
    <row r="25" spans="1:14" ht="18" customHeight="1">
      <c r="A25" s="29" t="s">
        <v>201</v>
      </c>
      <c r="B25" s="20"/>
      <c r="C25" s="29" t="s">
        <v>201</v>
      </c>
      <c r="D25" s="20"/>
      <c r="E25" s="29" t="s">
        <v>201</v>
      </c>
      <c r="F25" s="20"/>
      <c r="G25" s="29" t="s">
        <v>201</v>
      </c>
      <c r="H25" s="20"/>
      <c r="I25" s="29" t="s">
        <v>201</v>
      </c>
      <c r="J25" s="20"/>
      <c r="K25" s="29" t="s">
        <v>201</v>
      </c>
      <c r="L25" s="20"/>
      <c r="M25" s="29" t="s">
        <v>201</v>
      </c>
      <c r="N25" s="20"/>
    </row>
    <row r="26" spans="1:14" ht="18" customHeight="1">
      <c r="A26" s="27" t="s">
        <v>205</v>
      </c>
      <c r="B26" s="20"/>
      <c r="C26" s="27" t="s">
        <v>205</v>
      </c>
      <c r="D26" s="20"/>
      <c r="E26" s="27" t="s">
        <v>205</v>
      </c>
      <c r="F26" s="20"/>
      <c r="G26" s="27" t="s">
        <v>205</v>
      </c>
      <c r="H26" s="20"/>
      <c r="I26" s="27" t="s">
        <v>205</v>
      </c>
      <c r="J26" s="20"/>
      <c r="K26" s="26"/>
      <c r="L26" s="20"/>
      <c r="M26" s="26"/>
      <c r="N26" s="20"/>
    </row>
    <row r="27" spans="1:14" ht="18" customHeight="1">
      <c r="A27" s="19" t="s">
        <v>176</v>
      </c>
      <c r="B27" s="20"/>
      <c r="C27" s="19" t="s">
        <v>176</v>
      </c>
      <c r="D27" s="20"/>
      <c r="E27" s="19" t="s">
        <v>176</v>
      </c>
      <c r="F27" s="20"/>
      <c r="G27" s="19" t="s">
        <v>176</v>
      </c>
      <c r="H27" s="20"/>
      <c r="I27" s="19" t="s">
        <v>176</v>
      </c>
      <c r="J27" s="20"/>
      <c r="K27" s="19" t="s">
        <v>176</v>
      </c>
      <c r="L27" s="20"/>
      <c r="M27" s="19" t="s">
        <v>176</v>
      </c>
      <c r="N27" s="20"/>
    </row>
    <row r="28" spans="1:14" ht="18" customHeight="1">
      <c r="A28" s="21" t="s">
        <v>202</v>
      </c>
      <c r="B28" s="20"/>
      <c r="C28" s="21" t="s">
        <v>202</v>
      </c>
      <c r="D28" s="20"/>
      <c r="E28" s="21" t="s">
        <v>202</v>
      </c>
      <c r="F28" s="20"/>
      <c r="G28" s="21" t="s">
        <v>202</v>
      </c>
      <c r="H28" s="20"/>
      <c r="I28" s="21" t="s">
        <v>202</v>
      </c>
      <c r="J28" s="20"/>
      <c r="K28" s="21"/>
      <c r="L28" s="20"/>
      <c r="M28" s="21"/>
      <c r="N28" s="20"/>
    </row>
    <row r="29" spans="1:14" ht="18" customHeight="1">
      <c r="A29" s="56"/>
      <c r="B29" s="20"/>
      <c r="C29" s="56"/>
      <c r="D29" s="20"/>
      <c r="E29" s="56"/>
      <c r="F29" s="20"/>
      <c r="G29" s="56"/>
      <c r="H29" s="20"/>
      <c r="I29" s="56"/>
      <c r="J29" s="20"/>
      <c r="K29" s="56"/>
      <c r="L29" s="20"/>
      <c r="M29" s="56"/>
      <c r="N29" s="20"/>
    </row>
    <row r="30" spans="1:14" ht="18" customHeight="1">
      <c r="A30" s="23"/>
      <c r="B30" s="20"/>
      <c r="C30" s="22"/>
      <c r="D30" s="20"/>
      <c r="E30" s="23"/>
      <c r="F30" s="20"/>
      <c r="G30" s="22"/>
      <c r="H30" s="20"/>
      <c r="I30" s="22"/>
      <c r="J30" s="20"/>
      <c r="K30" s="22"/>
      <c r="L30" s="20"/>
      <c r="M30" s="22"/>
      <c r="N30" s="20"/>
    </row>
    <row r="31" spans="1:14" ht="18" customHeight="1">
      <c r="A31" s="25"/>
      <c r="B31" s="20"/>
      <c r="C31" s="25"/>
      <c r="D31" s="20"/>
      <c r="E31" s="25"/>
      <c r="F31" s="20"/>
      <c r="G31" s="25"/>
      <c r="H31" s="20"/>
      <c r="I31" s="25"/>
      <c r="J31" s="20"/>
      <c r="K31" s="25"/>
      <c r="L31" s="20"/>
      <c r="M31" s="25"/>
      <c r="N31" s="20"/>
    </row>
    <row r="32" spans="1:14" ht="18" customHeight="1">
      <c r="A32" s="58"/>
      <c r="B32" s="24"/>
      <c r="C32" s="58"/>
      <c r="D32" s="24"/>
      <c r="E32" s="58"/>
      <c r="F32" s="24"/>
      <c r="G32" s="58"/>
      <c r="H32" s="24"/>
      <c r="I32" s="58"/>
      <c r="J32" s="24"/>
      <c r="K32" s="58"/>
      <c r="L32" s="24"/>
      <c r="M32" s="58"/>
      <c r="N32" s="24"/>
    </row>
    <row r="33" spans="1:14" ht="18" customHeight="1">
      <c r="A33" s="2">
        <f>M24+1</f>
        <v>46314</v>
      </c>
      <c r="B33" s="3"/>
      <c r="C33" s="2">
        <f>A33+1</f>
        <v>46315</v>
      </c>
      <c r="D33" s="3"/>
      <c r="E33" s="2">
        <f>C33+1</f>
        <v>46316</v>
      </c>
      <c r="F33" s="3"/>
      <c r="G33" s="2">
        <f>E33+1</f>
        <v>46317</v>
      </c>
      <c r="H33" s="3"/>
      <c r="I33" s="2">
        <f>G33+1</f>
        <v>46318</v>
      </c>
      <c r="J33" s="3"/>
      <c r="K33" s="4">
        <f>I33+1</f>
        <v>46319</v>
      </c>
      <c r="L33" s="5"/>
      <c r="M33" s="4">
        <f>K33+1</f>
        <v>46320</v>
      </c>
      <c r="N33" s="5"/>
    </row>
    <row r="34" spans="1:14" ht="18" customHeight="1">
      <c r="A34" s="29" t="s">
        <v>210</v>
      </c>
      <c r="B34" s="20"/>
      <c r="C34" s="29" t="s">
        <v>210</v>
      </c>
      <c r="D34" s="20"/>
      <c r="E34" s="29" t="s">
        <v>210</v>
      </c>
      <c r="F34" s="20"/>
      <c r="G34" s="29" t="s">
        <v>210</v>
      </c>
      <c r="H34" s="20"/>
      <c r="I34" s="29" t="s">
        <v>210</v>
      </c>
      <c r="J34" s="20"/>
      <c r="K34" s="29" t="s">
        <v>210</v>
      </c>
      <c r="L34" s="20"/>
      <c r="M34" s="29" t="s">
        <v>210</v>
      </c>
      <c r="N34" s="20"/>
    </row>
    <row r="35" spans="1:14" ht="18" customHeight="1">
      <c r="A35" s="27" t="s">
        <v>201</v>
      </c>
      <c r="B35" s="20"/>
      <c r="C35" s="27" t="s">
        <v>201</v>
      </c>
      <c r="D35" s="20"/>
      <c r="E35" s="27" t="s">
        <v>201</v>
      </c>
      <c r="F35" s="20"/>
      <c r="G35" s="27" t="s">
        <v>201</v>
      </c>
      <c r="H35" s="20"/>
      <c r="I35" s="27" t="s">
        <v>201</v>
      </c>
      <c r="J35" s="20"/>
      <c r="K35" s="26"/>
      <c r="L35" s="20"/>
      <c r="M35" s="26"/>
      <c r="N35" s="20"/>
    </row>
    <row r="36" spans="1:14" ht="18" customHeight="1">
      <c r="A36" s="19" t="s">
        <v>202</v>
      </c>
      <c r="B36" s="20"/>
      <c r="C36" s="19" t="s">
        <v>202</v>
      </c>
      <c r="D36" s="20"/>
      <c r="E36" s="19" t="s">
        <v>202</v>
      </c>
      <c r="F36" s="20"/>
      <c r="G36" s="19" t="s">
        <v>202</v>
      </c>
      <c r="H36" s="20"/>
      <c r="I36" s="19" t="s">
        <v>202</v>
      </c>
      <c r="J36" s="20"/>
      <c r="K36" s="19" t="s">
        <v>202</v>
      </c>
      <c r="L36" s="20"/>
      <c r="M36" s="19" t="s">
        <v>202</v>
      </c>
      <c r="N36" s="20"/>
    </row>
    <row r="37" spans="1:14" ht="18" customHeight="1">
      <c r="A37" s="21" t="s">
        <v>189</v>
      </c>
      <c r="B37" s="20"/>
      <c r="C37" s="21" t="s">
        <v>189</v>
      </c>
      <c r="D37" s="20"/>
      <c r="E37" s="21" t="s">
        <v>189</v>
      </c>
      <c r="F37" s="20"/>
      <c r="G37" s="21" t="s">
        <v>189</v>
      </c>
      <c r="H37" s="20"/>
      <c r="I37" s="21" t="s">
        <v>189</v>
      </c>
      <c r="J37" s="20"/>
      <c r="K37" s="30"/>
      <c r="L37" s="20"/>
      <c r="M37" s="30"/>
      <c r="N37" s="20"/>
    </row>
    <row r="38" spans="1:14" ht="18" customHeight="1">
      <c r="A38" s="56"/>
      <c r="B38" s="20"/>
      <c r="C38" s="56"/>
      <c r="D38" s="20"/>
      <c r="E38" s="56"/>
      <c r="F38" s="20"/>
      <c r="G38" s="56"/>
      <c r="H38" s="20"/>
      <c r="I38" s="56"/>
      <c r="J38" s="20"/>
      <c r="K38" s="56"/>
      <c r="L38" s="20"/>
      <c r="M38" s="56"/>
      <c r="N38" s="20"/>
    </row>
    <row r="39" spans="1:14" ht="18" customHeight="1">
      <c r="A39" s="23"/>
      <c r="B39" s="20"/>
      <c r="C39" s="22"/>
      <c r="D39" s="20"/>
      <c r="E39" s="23"/>
      <c r="F39" s="20"/>
      <c r="G39" s="22"/>
      <c r="H39" s="20"/>
      <c r="I39" s="22"/>
      <c r="J39" s="20"/>
      <c r="K39" s="22"/>
      <c r="L39" s="20"/>
      <c r="M39" s="22"/>
      <c r="N39" s="20"/>
    </row>
    <row r="40" spans="1:14" ht="18" customHeight="1">
      <c r="A40" s="25"/>
      <c r="B40" s="20"/>
      <c r="C40" s="25"/>
      <c r="D40" s="20"/>
      <c r="E40" s="25"/>
      <c r="F40" s="20"/>
      <c r="G40" s="25"/>
      <c r="H40" s="20"/>
      <c r="I40" s="25"/>
      <c r="J40" s="20"/>
      <c r="K40" s="25"/>
      <c r="L40" s="20"/>
      <c r="M40" s="25"/>
      <c r="N40" s="20"/>
    </row>
    <row r="41" spans="1:14" ht="18" customHeight="1">
      <c r="A41" s="58"/>
      <c r="B41" s="24"/>
      <c r="C41" s="58"/>
      <c r="D41" s="24"/>
      <c r="E41" s="58"/>
      <c r="F41" s="24"/>
      <c r="G41" s="58"/>
      <c r="H41" s="24"/>
      <c r="I41" s="58"/>
      <c r="J41" s="24"/>
      <c r="K41" s="58"/>
      <c r="L41" s="24"/>
      <c r="M41" s="58"/>
      <c r="N41" s="24"/>
    </row>
    <row r="42" spans="1:14" ht="18" customHeight="1">
      <c r="A42" s="2">
        <f>IF(M33="","",IF(MONTH(M33+1)&lt;&gt;MONTH($A$1),"",M33+1))</f>
        <v>46321</v>
      </c>
      <c r="B42" s="3"/>
      <c r="C42" s="2">
        <f>IF(A42="","",IF(MONTH(A42+1)&lt;&gt;MONTH($A$1),"",A42+1))</f>
        <v>46322</v>
      </c>
      <c r="D42" s="3"/>
      <c r="E42" s="2">
        <v>29</v>
      </c>
      <c r="F42" s="3"/>
      <c r="G42" s="2">
        <v>30</v>
      </c>
      <c r="H42" s="3"/>
      <c r="I42" s="2">
        <v>31</v>
      </c>
      <c r="J42" s="3" t="s">
        <v>211</v>
      </c>
      <c r="K42" s="4">
        <v>1</v>
      </c>
      <c r="L42" s="5"/>
      <c r="M42" s="4">
        <v>2</v>
      </c>
      <c r="N42" s="5"/>
    </row>
    <row r="43" spans="1:14" ht="18" customHeight="1">
      <c r="A43" s="29" t="s">
        <v>203</v>
      </c>
      <c r="B43" s="20"/>
      <c r="C43" s="29" t="s">
        <v>203</v>
      </c>
      <c r="D43" s="20"/>
      <c r="E43" s="29" t="s">
        <v>203</v>
      </c>
      <c r="F43" s="20"/>
      <c r="G43" s="29" t="s">
        <v>203</v>
      </c>
      <c r="H43" s="20"/>
      <c r="I43" s="29" t="s">
        <v>212</v>
      </c>
      <c r="J43" s="20"/>
      <c r="K43" s="29" t="s">
        <v>43</v>
      </c>
      <c r="L43" s="20"/>
      <c r="M43" s="29" t="s">
        <v>43</v>
      </c>
      <c r="N43" s="20"/>
    </row>
    <row r="44" spans="1:14" ht="18" customHeight="1">
      <c r="A44" s="27" t="s">
        <v>178</v>
      </c>
      <c r="B44" s="20"/>
      <c r="C44" s="27" t="s">
        <v>178</v>
      </c>
      <c r="D44" s="20"/>
      <c r="E44" s="27" t="s">
        <v>178</v>
      </c>
      <c r="F44" s="20"/>
      <c r="G44" s="27" t="s">
        <v>178</v>
      </c>
      <c r="H44" s="20"/>
      <c r="I44" s="27" t="s">
        <v>178</v>
      </c>
      <c r="J44" s="20"/>
      <c r="K44" s="26"/>
      <c r="L44" s="20"/>
      <c r="M44" s="26"/>
      <c r="N44" s="20"/>
    </row>
    <row r="45" spans="1:14" ht="18" customHeight="1">
      <c r="A45" s="19" t="s">
        <v>176</v>
      </c>
      <c r="B45" s="20"/>
      <c r="C45" s="19" t="s">
        <v>176</v>
      </c>
      <c r="D45" s="20"/>
      <c r="E45" s="19" t="s">
        <v>176</v>
      </c>
      <c r="F45" s="20"/>
      <c r="G45" s="19" t="s">
        <v>176</v>
      </c>
      <c r="H45" s="20"/>
      <c r="I45" s="19" t="s">
        <v>176</v>
      </c>
      <c r="J45" s="20"/>
      <c r="K45" s="19" t="s">
        <v>176</v>
      </c>
      <c r="L45" s="20"/>
      <c r="M45" s="19" t="s">
        <v>176</v>
      </c>
      <c r="N45" s="20"/>
    </row>
    <row r="46" spans="1:14" ht="18" customHeight="1">
      <c r="A46" s="21" t="s">
        <v>187</v>
      </c>
      <c r="B46" s="20"/>
      <c r="C46" s="21" t="s">
        <v>187</v>
      </c>
      <c r="D46" s="20"/>
      <c r="E46" s="21" t="s">
        <v>187</v>
      </c>
      <c r="F46" s="20"/>
      <c r="G46" s="21" t="s">
        <v>187</v>
      </c>
      <c r="H46" s="20"/>
      <c r="I46" s="21" t="s">
        <v>187</v>
      </c>
      <c r="J46" s="20"/>
      <c r="K46" s="30"/>
      <c r="L46" s="20"/>
      <c r="M46" s="30"/>
      <c r="N46" s="20"/>
    </row>
    <row r="47" spans="1:14" ht="18" customHeight="1">
      <c r="A47" s="56"/>
      <c r="B47" s="20"/>
      <c r="C47" s="56"/>
      <c r="D47" s="20"/>
      <c r="E47" s="56"/>
      <c r="F47" s="20"/>
      <c r="G47" s="56"/>
      <c r="H47" s="20"/>
      <c r="I47" s="56"/>
      <c r="J47" s="20"/>
      <c r="K47" s="57"/>
      <c r="L47" s="20"/>
      <c r="M47" s="57"/>
      <c r="N47" s="20"/>
    </row>
    <row r="48" spans="1:14" ht="18" customHeight="1">
      <c r="A48" s="23"/>
      <c r="B48" s="20"/>
      <c r="C48" s="22"/>
      <c r="D48" s="20"/>
      <c r="E48" s="23"/>
      <c r="F48" s="20"/>
      <c r="G48" s="22"/>
      <c r="H48" s="20"/>
      <c r="I48" s="22"/>
      <c r="J48" s="20"/>
      <c r="K48" s="22"/>
      <c r="L48" s="20"/>
      <c r="M48" s="22"/>
      <c r="N48" s="20"/>
    </row>
    <row r="49" spans="1:14" ht="18" customHeight="1">
      <c r="A49" s="25"/>
      <c r="B49" s="20"/>
      <c r="C49" s="25"/>
      <c r="D49" s="20"/>
      <c r="E49" s="25"/>
      <c r="F49" s="20"/>
      <c r="G49" s="25"/>
      <c r="H49" s="20"/>
      <c r="I49" s="25"/>
      <c r="J49" s="20"/>
      <c r="K49" s="25"/>
      <c r="L49" s="20"/>
      <c r="M49" s="25"/>
      <c r="N49" s="20"/>
    </row>
    <row r="50" spans="1:14" ht="18" customHeight="1">
      <c r="A50" s="58"/>
      <c r="B50" s="24"/>
      <c r="C50" s="58"/>
      <c r="D50" s="24"/>
      <c r="E50" s="58"/>
      <c r="F50" s="24"/>
      <c r="G50" s="58"/>
      <c r="H50" s="24"/>
      <c r="I50" s="58"/>
      <c r="J50" s="24"/>
      <c r="K50" s="58"/>
      <c r="L50" s="24"/>
      <c r="M50" s="58"/>
      <c r="N50" s="24"/>
    </row>
    <row r="51" spans="1:14" ht="18" customHeight="1">
      <c r="A51" s="2"/>
      <c r="B51" s="3"/>
      <c r="C51" s="2"/>
      <c r="D51" s="3"/>
      <c r="E51" s="46" t="s">
        <v>22</v>
      </c>
      <c r="F51" s="47"/>
      <c r="G51" s="48"/>
      <c r="H51" s="47"/>
      <c r="I51" s="47"/>
      <c r="J51" s="47"/>
      <c r="K51" s="47"/>
      <c r="L51" s="47"/>
      <c r="M51" s="47"/>
      <c r="N51" s="49"/>
    </row>
    <row r="52" spans="1:14" ht="18" customHeight="1">
      <c r="A52" s="29"/>
      <c r="B52" s="20"/>
      <c r="C52" s="44"/>
      <c r="D52" s="20"/>
      <c r="E52" s="45"/>
      <c r="F52" s="37"/>
      <c r="G52" s="37"/>
      <c r="H52" s="37"/>
      <c r="I52" s="37"/>
      <c r="J52" s="37"/>
      <c r="K52" s="37"/>
      <c r="L52" s="37"/>
      <c r="M52" s="37"/>
      <c r="N52" s="20"/>
    </row>
    <row r="53" spans="1:14" ht="18" customHeight="1">
      <c r="A53" s="27"/>
      <c r="B53" s="20"/>
      <c r="C53" s="26"/>
      <c r="D53" s="20"/>
      <c r="E53" s="45"/>
      <c r="F53" s="37"/>
      <c r="G53" s="37"/>
      <c r="H53" s="37"/>
      <c r="I53" s="37"/>
      <c r="J53" s="37"/>
      <c r="K53" s="37"/>
      <c r="L53" s="37"/>
      <c r="M53" s="37"/>
      <c r="N53" s="20"/>
    </row>
    <row r="54" spans="1:14" ht="18" customHeight="1">
      <c r="A54" s="19"/>
      <c r="B54" s="20"/>
      <c r="C54" s="35"/>
      <c r="D54" s="20"/>
      <c r="E54" s="45"/>
      <c r="F54" s="37"/>
      <c r="G54" s="37"/>
      <c r="H54" s="37"/>
      <c r="I54" s="37"/>
      <c r="J54" s="37"/>
      <c r="K54" s="37"/>
      <c r="L54" s="37"/>
      <c r="M54" s="37"/>
      <c r="N54" s="20"/>
    </row>
    <row r="55" spans="1:14" ht="18" customHeight="1">
      <c r="A55" s="21"/>
      <c r="B55" s="20"/>
      <c r="C55" s="30"/>
      <c r="D55" s="20"/>
      <c r="E55" s="6"/>
      <c r="F55" s="7"/>
      <c r="G55" s="7"/>
      <c r="H55" s="7"/>
      <c r="I55" s="7"/>
      <c r="J55" s="7"/>
      <c r="K55" s="7"/>
      <c r="L55" s="7"/>
      <c r="M55" s="7"/>
      <c r="N55" s="8"/>
    </row>
    <row r="56" spans="1:14" ht="18" customHeight="1">
      <c r="A56" s="56"/>
      <c r="B56" s="20"/>
      <c r="C56" s="57"/>
      <c r="D56" s="20"/>
      <c r="E56" s="6"/>
      <c r="F56" s="7"/>
      <c r="G56" s="7"/>
      <c r="H56" s="7"/>
      <c r="I56" s="7"/>
      <c r="J56" s="7"/>
      <c r="K56" s="7"/>
      <c r="L56" s="7"/>
      <c r="M56" s="7"/>
      <c r="N56" s="8"/>
    </row>
    <row r="57" spans="1:14" ht="18" customHeight="1">
      <c r="A57" s="23"/>
      <c r="B57" s="20"/>
      <c r="C57" s="22"/>
      <c r="D57" s="20"/>
      <c r="E57" s="6"/>
      <c r="F57" s="7"/>
      <c r="G57" s="7"/>
      <c r="H57" s="7"/>
      <c r="I57" s="7"/>
      <c r="J57" s="7"/>
      <c r="K57" s="7"/>
      <c r="L57" s="7"/>
      <c r="M57" s="7"/>
      <c r="N57" s="8"/>
    </row>
    <row r="58" spans="1:14" ht="18" customHeight="1">
      <c r="A58" s="25"/>
      <c r="B58" s="20"/>
      <c r="C58" s="31"/>
      <c r="D58" s="24"/>
      <c r="E58" s="32" t="s">
        <v>23</v>
      </c>
      <c r="F58" s="33"/>
      <c r="G58" s="33"/>
      <c r="H58" s="33"/>
      <c r="I58" s="34" t="str">
        <f>HYPERLINK("https://www.vertex42.com/calendars/academic-calendar.html","https://www.vertex42.com/calendars/academic-calendar.html")</f>
        <v>https://www.vertex42.com/calendars/academic-calendar.html</v>
      </c>
      <c r="J58" s="33"/>
      <c r="K58" s="33"/>
      <c r="L58" s="33"/>
      <c r="M58" s="33"/>
      <c r="N58" s="24"/>
    </row>
  </sheetData>
  <mergeCells count="319">
    <mergeCell ref="A19:B19"/>
    <mergeCell ref="C17:D17"/>
    <mergeCell ref="C18:D18"/>
    <mergeCell ref="C19:D19"/>
    <mergeCell ref="C16:D16"/>
    <mergeCell ref="C12:D12"/>
    <mergeCell ref="C22:D22"/>
    <mergeCell ref="A9:B9"/>
    <mergeCell ref="A14:B14"/>
    <mergeCell ref="A10:B10"/>
    <mergeCell ref="A8:B8"/>
    <mergeCell ref="A7:B7"/>
    <mergeCell ref="C9:D9"/>
    <mergeCell ref="C8:D8"/>
    <mergeCell ref="C7:D7"/>
    <mergeCell ref="C10:D10"/>
    <mergeCell ref="K1:N1"/>
    <mergeCell ref="G3:H3"/>
    <mergeCell ref="I3:J3"/>
    <mergeCell ref="C5:D5"/>
    <mergeCell ref="A5:B5"/>
    <mergeCell ref="E3:F3"/>
    <mergeCell ref="E5:F5"/>
    <mergeCell ref="G5:H5"/>
    <mergeCell ref="I5:J5"/>
    <mergeCell ref="A4:N4"/>
    <mergeCell ref="A2:N2"/>
    <mergeCell ref="C3:D3"/>
    <mergeCell ref="K5:L5"/>
    <mergeCell ref="M5:N5"/>
    <mergeCell ref="M3:N3"/>
    <mergeCell ref="K3:L3"/>
    <mergeCell ref="A3:B3"/>
    <mergeCell ref="A1:B1"/>
    <mergeCell ref="M16:N16"/>
    <mergeCell ref="M17:N17"/>
    <mergeCell ref="M18:N18"/>
    <mergeCell ref="M19:N19"/>
    <mergeCell ref="M20:N20"/>
    <mergeCell ref="M21:N21"/>
    <mergeCell ref="C14:D14"/>
    <mergeCell ref="A12:B12"/>
    <mergeCell ref="A13:B13"/>
    <mergeCell ref="C13:D13"/>
    <mergeCell ref="I14:J14"/>
    <mergeCell ref="I12:J12"/>
    <mergeCell ref="I13:J13"/>
    <mergeCell ref="E16:F16"/>
    <mergeCell ref="E12:F12"/>
    <mergeCell ref="K17:L17"/>
    <mergeCell ref="K18:L18"/>
    <mergeCell ref="K19:L19"/>
    <mergeCell ref="K20:L20"/>
    <mergeCell ref="K21:L21"/>
    <mergeCell ref="K16:L16"/>
    <mergeCell ref="I17:J17"/>
    <mergeCell ref="I18:J18"/>
    <mergeCell ref="I19:J19"/>
    <mergeCell ref="M9:N9"/>
    <mergeCell ref="M7:N7"/>
    <mergeCell ref="M13:N13"/>
    <mergeCell ref="M11:N11"/>
    <mergeCell ref="M12:N12"/>
    <mergeCell ref="K9:L9"/>
    <mergeCell ref="K8:L8"/>
    <mergeCell ref="K14:L14"/>
    <mergeCell ref="K7:L7"/>
    <mergeCell ref="K13:L13"/>
    <mergeCell ref="K11:L11"/>
    <mergeCell ref="K10:L10"/>
    <mergeCell ref="K12:L12"/>
    <mergeCell ref="M14:N14"/>
    <mergeCell ref="M8:N8"/>
    <mergeCell ref="M10:N10"/>
    <mergeCell ref="A34:B34"/>
    <mergeCell ref="E22:F22"/>
    <mergeCell ref="E9:F9"/>
    <mergeCell ref="G16:H16"/>
    <mergeCell ref="G17:H17"/>
    <mergeCell ref="G14:H14"/>
    <mergeCell ref="G12:H12"/>
    <mergeCell ref="G22:H22"/>
    <mergeCell ref="G9:H9"/>
    <mergeCell ref="E17:F17"/>
    <mergeCell ref="E13:F13"/>
    <mergeCell ref="G13:H13"/>
    <mergeCell ref="E18:F18"/>
    <mergeCell ref="G18:H18"/>
    <mergeCell ref="E19:F19"/>
    <mergeCell ref="G19:H19"/>
    <mergeCell ref="G21:H21"/>
    <mergeCell ref="G20:H20"/>
    <mergeCell ref="A11:B11"/>
    <mergeCell ref="C11:D11"/>
    <mergeCell ref="A18:B18"/>
    <mergeCell ref="A16:B16"/>
    <mergeCell ref="A17:B17"/>
    <mergeCell ref="A22:B22"/>
    <mergeCell ref="C56:D56"/>
    <mergeCell ref="E58:H58"/>
    <mergeCell ref="G50:H50"/>
    <mergeCell ref="I9:J9"/>
    <mergeCell ref="A35:B35"/>
    <mergeCell ref="C25:D25"/>
    <mergeCell ref="A25:B25"/>
    <mergeCell ref="A20:B20"/>
    <mergeCell ref="A23:B23"/>
    <mergeCell ref="A26:B26"/>
    <mergeCell ref="C28:D28"/>
    <mergeCell ref="A46:B46"/>
    <mergeCell ref="C46:D46"/>
    <mergeCell ref="A43:B43"/>
    <mergeCell ref="A44:B44"/>
    <mergeCell ref="A45:B45"/>
    <mergeCell ref="C41:D41"/>
    <mergeCell ref="C45:D45"/>
    <mergeCell ref="A37:B37"/>
    <mergeCell ref="A36:B36"/>
    <mergeCell ref="A21:B21"/>
    <mergeCell ref="C20:D20"/>
    <mergeCell ref="C21:D21"/>
    <mergeCell ref="C23:D23"/>
    <mergeCell ref="M45:N45"/>
    <mergeCell ref="M46:N46"/>
    <mergeCell ref="M47:N47"/>
    <mergeCell ref="A31:B31"/>
    <mergeCell ref="I58:N58"/>
    <mergeCell ref="A55:B55"/>
    <mergeCell ref="A47:B47"/>
    <mergeCell ref="C40:D40"/>
    <mergeCell ref="C39:D39"/>
    <mergeCell ref="A57:B57"/>
    <mergeCell ref="C58:D58"/>
    <mergeCell ref="A58:B58"/>
    <mergeCell ref="C57:D57"/>
    <mergeCell ref="C53:D53"/>
    <mergeCell ref="C55:D55"/>
    <mergeCell ref="A54:B54"/>
    <mergeCell ref="A52:B52"/>
    <mergeCell ref="A53:B53"/>
    <mergeCell ref="A50:B50"/>
    <mergeCell ref="C48:D48"/>
    <mergeCell ref="C47:D47"/>
    <mergeCell ref="C49:D49"/>
    <mergeCell ref="C50:D50"/>
    <mergeCell ref="A56:B56"/>
    <mergeCell ref="M25:N25"/>
    <mergeCell ref="M26:N26"/>
    <mergeCell ref="K30:L30"/>
    <mergeCell ref="M30:N30"/>
    <mergeCell ref="M29:N29"/>
    <mergeCell ref="M22:N22"/>
    <mergeCell ref="M23:N23"/>
    <mergeCell ref="M27:N27"/>
    <mergeCell ref="K28:L28"/>
    <mergeCell ref="K22:L22"/>
    <mergeCell ref="K23:L23"/>
    <mergeCell ref="K25:L25"/>
    <mergeCell ref="K26:L26"/>
    <mergeCell ref="K29:L29"/>
    <mergeCell ref="K27:L27"/>
    <mergeCell ref="M28:N28"/>
    <mergeCell ref="K38:L38"/>
    <mergeCell ref="I38:J38"/>
    <mergeCell ref="I37:J37"/>
    <mergeCell ref="K37:L37"/>
    <mergeCell ref="M37:N37"/>
    <mergeCell ref="M38:N38"/>
    <mergeCell ref="I31:J31"/>
    <mergeCell ref="I32:J32"/>
    <mergeCell ref="I28:J28"/>
    <mergeCell ref="K32:L32"/>
    <mergeCell ref="M32:N32"/>
    <mergeCell ref="M31:N31"/>
    <mergeCell ref="K31:L31"/>
    <mergeCell ref="I20:J20"/>
    <mergeCell ref="I21:J21"/>
    <mergeCell ref="I16:J16"/>
    <mergeCell ref="I22:J22"/>
    <mergeCell ref="E14:F14"/>
    <mergeCell ref="E21:F21"/>
    <mergeCell ref="E20:F20"/>
    <mergeCell ref="I26:J26"/>
    <mergeCell ref="I36:J36"/>
    <mergeCell ref="E32:F32"/>
    <mergeCell ref="I27:J27"/>
    <mergeCell ref="E27:F27"/>
    <mergeCell ref="E28:F28"/>
    <mergeCell ref="I25:J25"/>
    <mergeCell ref="I23:J23"/>
    <mergeCell ref="G23:H23"/>
    <mergeCell ref="E25:F25"/>
    <mergeCell ref="E26:F26"/>
    <mergeCell ref="E23:F23"/>
    <mergeCell ref="I29:J29"/>
    <mergeCell ref="I30:J30"/>
    <mergeCell ref="E30:F30"/>
    <mergeCell ref="G30:H30"/>
    <mergeCell ref="G29:H29"/>
    <mergeCell ref="G8:H8"/>
    <mergeCell ref="G7:H7"/>
    <mergeCell ref="I7:J7"/>
    <mergeCell ref="E8:F8"/>
    <mergeCell ref="E7:F7"/>
    <mergeCell ref="E11:F11"/>
    <mergeCell ref="G11:H11"/>
    <mergeCell ref="I11:J11"/>
    <mergeCell ref="E10:F10"/>
    <mergeCell ref="G10:H10"/>
    <mergeCell ref="I10:J10"/>
    <mergeCell ref="I8:J8"/>
    <mergeCell ref="A32:B32"/>
    <mergeCell ref="C31:D31"/>
    <mergeCell ref="A30:B30"/>
    <mergeCell ref="C30:D30"/>
    <mergeCell ref="G27:H27"/>
    <mergeCell ref="G28:H28"/>
    <mergeCell ref="G25:H25"/>
    <mergeCell ref="G26:H26"/>
    <mergeCell ref="C32:D32"/>
    <mergeCell ref="E29:F29"/>
    <mergeCell ref="C27:D27"/>
    <mergeCell ref="A27:B27"/>
    <mergeCell ref="A28:B28"/>
    <mergeCell ref="E31:F31"/>
    <mergeCell ref="G31:H31"/>
    <mergeCell ref="C26:D26"/>
    <mergeCell ref="G34:H34"/>
    <mergeCell ref="E41:F41"/>
    <mergeCell ref="E43:F43"/>
    <mergeCell ref="G47:H47"/>
    <mergeCell ref="G35:H35"/>
    <mergeCell ref="G41:H41"/>
    <mergeCell ref="G43:H43"/>
    <mergeCell ref="E46:F46"/>
    <mergeCell ref="G46:H46"/>
    <mergeCell ref="E44:F44"/>
    <mergeCell ref="G44:H44"/>
    <mergeCell ref="E38:F38"/>
    <mergeCell ref="G38:H38"/>
    <mergeCell ref="G36:H36"/>
    <mergeCell ref="E45:F45"/>
    <mergeCell ref="E37:F37"/>
    <mergeCell ref="E39:F39"/>
    <mergeCell ref="E36:F36"/>
    <mergeCell ref="E35:F35"/>
    <mergeCell ref="E40:F40"/>
    <mergeCell ref="K41:L41"/>
    <mergeCell ref="M41:N41"/>
    <mergeCell ref="I43:J43"/>
    <mergeCell ref="K43:L43"/>
    <mergeCell ref="G51:N51"/>
    <mergeCell ref="M40:N40"/>
    <mergeCell ref="E52:N52"/>
    <mergeCell ref="E47:F47"/>
    <mergeCell ref="E34:F34"/>
    <mergeCell ref="I44:J44"/>
    <mergeCell ref="I47:J47"/>
    <mergeCell ref="K44:L44"/>
    <mergeCell ref="K36:L36"/>
    <mergeCell ref="M36:N36"/>
    <mergeCell ref="I49:J49"/>
    <mergeCell ref="K49:L49"/>
    <mergeCell ref="I46:J46"/>
    <mergeCell ref="K46:L46"/>
    <mergeCell ref="I50:J50"/>
    <mergeCell ref="K50:L50"/>
    <mergeCell ref="K47:L47"/>
    <mergeCell ref="M48:N48"/>
    <mergeCell ref="M50:N50"/>
    <mergeCell ref="K45:L45"/>
    <mergeCell ref="A39:B39"/>
    <mergeCell ref="A40:B40"/>
    <mergeCell ref="A41:B41"/>
    <mergeCell ref="K40:L40"/>
    <mergeCell ref="C34:D34"/>
    <mergeCell ref="G32:H32"/>
    <mergeCell ref="E53:N53"/>
    <mergeCell ref="E54:N54"/>
    <mergeCell ref="C54:D54"/>
    <mergeCell ref="E51:F51"/>
    <mergeCell ref="C52:D52"/>
    <mergeCell ref="I40:J40"/>
    <mergeCell ref="I41:J41"/>
    <mergeCell ref="E50:F50"/>
    <mergeCell ref="E49:F49"/>
    <mergeCell ref="G49:H49"/>
    <mergeCell ref="I48:J48"/>
    <mergeCell ref="K48:L48"/>
    <mergeCell ref="C44:D44"/>
    <mergeCell ref="M44:N44"/>
    <mergeCell ref="M43:N43"/>
    <mergeCell ref="C43:D43"/>
    <mergeCell ref="G48:H48"/>
    <mergeCell ref="E48:F48"/>
    <mergeCell ref="A48:B48"/>
    <mergeCell ref="G37:H37"/>
    <mergeCell ref="G39:H39"/>
    <mergeCell ref="G40:H40"/>
    <mergeCell ref="G45:H45"/>
    <mergeCell ref="I45:J45"/>
    <mergeCell ref="A49:B49"/>
    <mergeCell ref="M49:N49"/>
    <mergeCell ref="A29:B29"/>
    <mergeCell ref="C29:D29"/>
    <mergeCell ref="C35:D35"/>
    <mergeCell ref="C36:D36"/>
    <mergeCell ref="I34:J34"/>
    <mergeCell ref="I35:J35"/>
    <mergeCell ref="K35:L35"/>
    <mergeCell ref="M35:N35"/>
    <mergeCell ref="K34:L34"/>
    <mergeCell ref="M34:N34"/>
    <mergeCell ref="I39:J39"/>
    <mergeCell ref="K39:L39"/>
    <mergeCell ref="M39:N39"/>
    <mergeCell ref="C37:D37"/>
    <mergeCell ref="C38:D38"/>
    <mergeCell ref="A38:B38"/>
  </mergeCells>
  <printOptions horizontalCentered="1" gridLines="1"/>
  <pageMargins left="0.5" right="0.5" top="0.25" bottom="0.25" header="0" footer="0"/>
  <pageSetup scale="80" pageOrder="overThenDown" orientation="portrait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  <pageSetUpPr fitToPage="1"/>
  </sheetPr>
  <dimension ref="A1:N58"/>
  <sheetViews>
    <sheetView showGridLines="0" topLeftCell="A24" workbookViewId="0">
      <selection activeCell="M43" sqref="M43:N43"/>
    </sheetView>
  </sheetViews>
  <sheetFormatPr defaultColWidth="12.5703125" defaultRowHeight="12.75" customHeight="1"/>
  <cols>
    <col min="1" max="1" width="3.85546875" customWidth="1"/>
    <col min="2" max="2" width="13.42578125" customWidth="1"/>
    <col min="3" max="3" width="3.85546875" customWidth="1"/>
    <col min="4" max="4" width="13.42578125" customWidth="1"/>
    <col min="5" max="5" width="3.85546875" customWidth="1"/>
    <col min="6" max="6" width="13.42578125" customWidth="1"/>
    <col min="7" max="7" width="3.85546875" customWidth="1"/>
    <col min="8" max="8" width="13.42578125" customWidth="1"/>
    <col min="9" max="9" width="3.85546875" customWidth="1"/>
    <col min="10" max="10" width="15.42578125" customWidth="1"/>
    <col min="11" max="11" width="3.85546875" customWidth="1"/>
    <col min="12" max="12" width="13.42578125" customWidth="1"/>
    <col min="13" max="13" width="3.85546875" customWidth="1"/>
    <col min="14" max="14" width="13.42578125" customWidth="1"/>
  </cols>
  <sheetData>
    <row r="1" spans="1:14" ht="18" customHeight="1">
      <c r="A1" s="36">
        <f>EDATE('©'!A17,40)</f>
        <v>46327</v>
      </c>
      <c r="B1" s="37"/>
      <c r="C1" s="1"/>
      <c r="D1" s="1"/>
      <c r="E1" s="1"/>
      <c r="F1" s="1"/>
      <c r="G1" s="1"/>
      <c r="H1" s="1"/>
      <c r="I1" s="1"/>
      <c r="J1" s="1"/>
      <c r="K1" s="38" t="s">
        <v>0</v>
      </c>
      <c r="L1" s="37"/>
      <c r="M1" s="37"/>
      <c r="N1" s="37"/>
    </row>
    <row r="2" spans="1:14" ht="18" customHeight="1">
      <c r="A2" s="39" t="s">
        <v>166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1:14" ht="18" customHeight="1">
      <c r="A3" s="29" t="s">
        <v>167</v>
      </c>
      <c r="B3" s="37"/>
      <c r="C3" s="27" t="s">
        <v>168</v>
      </c>
      <c r="D3" s="37"/>
      <c r="E3" s="19" t="s">
        <v>169</v>
      </c>
      <c r="F3" s="37"/>
      <c r="G3" s="21" t="s">
        <v>170</v>
      </c>
      <c r="H3" s="37"/>
      <c r="I3" s="56" t="s">
        <v>171</v>
      </c>
      <c r="J3" s="37"/>
      <c r="K3" s="23" t="s">
        <v>172</v>
      </c>
      <c r="L3" s="37"/>
      <c r="M3" s="25" t="s">
        <v>173</v>
      </c>
      <c r="N3" s="37"/>
    </row>
    <row r="4" spans="1:14" ht="69" customHeight="1">
      <c r="A4" s="42" t="str">
        <f>UPPER(TEXT(A1,"mmmm yyyy"))</f>
        <v>NOVEMBER 2026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</row>
    <row r="5" spans="1:14" ht="18" customHeight="1">
      <c r="A5" s="40">
        <f>A15</f>
        <v>46328</v>
      </c>
      <c r="B5" s="41"/>
      <c r="C5" s="40">
        <f>C15</f>
        <v>46329</v>
      </c>
      <c r="D5" s="41"/>
      <c r="E5" s="40">
        <f>E15</f>
        <v>46330</v>
      </c>
      <c r="F5" s="41"/>
      <c r="G5" s="40">
        <f>G15</f>
        <v>46331</v>
      </c>
      <c r="H5" s="41"/>
      <c r="I5" s="40">
        <f>I15</f>
        <v>46332</v>
      </c>
      <c r="J5" s="41"/>
      <c r="K5" s="40">
        <f>K15</f>
        <v>46333</v>
      </c>
      <c r="L5" s="41"/>
      <c r="M5" s="40">
        <f>M15</f>
        <v>46334</v>
      </c>
      <c r="N5" s="41"/>
    </row>
    <row r="6" spans="1:14" ht="18" customHeight="1">
      <c r="A6" s="2" t="str">
        <f>IF(WEEKDAY($A$1,1)=startday,$A$1,"")</f>
        <v/>
      </c>
      <c r="B6" s="3"/>
      <c r="C6" s="2" t="str">
        <f>IF(A6="",IF(WEEKDAY($A$1,1)=MOD(startday,7)+1,$A$1,""),A6+1)</f>
        <v/>
      </c>
      <c r="D6" s="3"/>
      <c r="E6" s="2" t="str">
        <f>IF(C6="",IF(WEEKDAY($A$1,1)=MOD(startday,7)+2,$A$1,""),C6+1)</f>
        <v/>
      </c>
      <c r="F6" s="3"/>
      <c r="G6" s="2" t="str">
        <f>IF(E6="",IF(WEEKDAY($A$1,1)=MOD(startday,7)+3,$A$1,""),E6+1)</f>
        <v/>
      </c>
      <c r="H6" s="3"/>
      <c r="I6" s="2" t="str">
        <f>IF(G6="",IF(WEEKDAY($A$1,1)=MOD(startday,7)+4,$A$1,""),G6+1)</f>
        <v/>
      </c>
      <c r="J6" s="3"/>
      <c r="K6" s="4" t="str">
        <f>IF(I6="",IF(WEEKDAY($A$1,1)=MOD(startday,7)+5,$A$1,""),I6+1)</f>
        <v/>
      </c>
      <c r="L6" s="5"/>
      <c r="M6" s="4">
        <f>IF(K6="",IF(WEEKDAY($A$1,1)=MOD(startday+5,7)+1,$A$1,""),K6+1)</f>
        <v>46327</v>
      </c>
      <c r="N6" s="5"/>
    </row>
    <row r="7" spans="1:14" ht="18" customHeight="1">
      <c r="A7" s="29" t="s">
        <v>203</v>
      </c>
      <c r="B7" s="20"/>
      <c r="C7" s="29" t="s">
        <v>203</v>
      </c>
      <c r="D7" s="20"/>
      <c r="E7" s="29" t="s">
        <v>203</v>
      </c>
      <c r="F7" s="20"/>
      <c r="G7" s="29" t="s">
        <v>203</v>
      </c>
      <c r="H7" s="20"/>
      <c r="I7" s="29" t="s">
        <v>212</v>
      </c>
      <c r="J7" s="20"/>
      <c r="K7" s="29" t="s">
        <v>43</v>
      </c>
      <c r="L7" s="20"/>
      <c r="M7" s="29" t="s">
        <v>43</v>
      </c>
      <c r="N7" s="20"/>
    </row>
    <row r="8" spans="1:14" ht="18" customHeight="1">
      <c r="A8" s="27" t="s">
        <v>178</v>
      </c>
      <c r="B8" s="20"/>
      <c r="C8" s="27" t="s">
        <v>178</v>
      </c>
      <c r="D8" s="20"/>
      <c r="E8" s="27" t="s">
        <v>178</v>
      </c>
      <c r="F8" s="20"/>
      <c r="G8" s="27" t="s">
        <v>178</v>
      </c>
      <c r="H8" s="20"/>
      <c r="I8" s="27" t="s">
        <v>178</v>
      </c>
      <c r="J8" s="20"/>
      <c r="K8" s="26"/>
      <c r="L8" s="20"/>
      <c r="M8" s="26"/>
      <c r="N8" s="20"/>
    </row>
    <row r="9" spans="1:14" ht="18" customHeight="1">
      <c r="A9" s="19" t="s">
        <v>176</v>
      </c>
      <c r="B9" s="20"/>
      <c r="C9" s="19" t="s">
        <v>176</v>
      </c>
      <c r="D9" s="20"/>
      <c r="E9" s="19" t="s">
        <v>176</v>
      </c>
      <c r="F9" s="20"/>
      <c r="G9" s="19" t="s">
        <v>176</v>
      </c>
      <c r="H9" s="20"/>
      <c r="I9" s="19" t="s">
        <v>176</v>
      </c>
      <c r="J9" s="20"/>
      <c r="K9" s="19" t="s">
        <v>176</v>
      </c>
      <c r="L9" s="20"/>
      <c r="M9" s="19" t="s">
        <v>176</v>
      </c>
      <c r="N9" s="20"/>
    </row>
    <row r="10" spans="1:14" ht="18" customHeight="1">
      <c r="A10" s="21" t="s">
        <v>187</v>
      </c>
      <c r="B10" s="20"/>
      <c r="C10" s="21" t="s">
        <v>187</v>
      </c>
      <c r="D10" s="20"/>
      <c r="E10" s="21" t="s">
        <v>187</v>
      </c>
      <c r="F10" s="20"/>
      <c r="G10" s="21" t="s">
        <v>187</v>
      </c>
      <c r="H10" s="20"/>
      <c r="I10" s="21" t="s">
        <v>187</v>
      </c>
      <c r="J10" s="20"/>
      <c r="K10" s="30"/>
      <c r="L10" s="20"/>
      <c r="M10" s="30"/>
      <c r="N10" s="20"/>
    </row>
    <row r="11" spans="1:14" ht="18" customHeight="1">
      <c r="A11" s="56"/>
      <c r="B11" s="20"/>
      <c r="C11" s="57"/>
      <c r="D11" s="20"/>
      <c r="E11" s="56"/>
      <c r="F11" s="20"/>
      <c r="G11" s="56"/>
      <c r="H11" s="20"/>
      <c r="I11" s="56"/>
      <c r="J11" s="20"/>
      <c r="K11" s="56"/>
      <c r="L11" s="20"/>
      <c r="M11" s="56"/>
      <c r="N11" s="20"/>
    </row>
    <row r="12" spans="1:14" ht="18" customHeight="1">
      <c r="A12" s="23"/>
      <c r="B12" s="20"/>
      <c r="C12" s="22"/>
      <c r="D12" s="20"/>
      <c r="E12" s="23"/>
      <c r="F12" s="20"/>
      <c r="G12" s="22"/>
      <c r="H12" s="20"/>
      <c r="I12" s="22"/>
      <c r="J12" s="20"/>
      <c r="K12" s="22"/>
      <c r="L12" s="20"/>
      <c r="M12" s="22"/>
      <c r="N12" s="20"/>
    </row>
    <row r="13" spans="1:14" ht="18" customHeight="1">
      <c r="A13" s="25"/>
      <c r="B13" s="20"/>
      <c r="C13" s="25"/>
      <c r="D13" s="20"/>
      <c r="E13" s="25"/>
      <c r="F13" s="20"/>
      <c r="G13" s="25"/>
      <c r="H13" s="20"/>
      <c r="I13" s="25"/>
      <c r="J13" s="20"/>
      <c r="K13" s="25"/>
      <c r="L13" s="20"/>
      <c r="M13" s="25"/>
      <c r="N13" s="20"/>
    </row>
    <row r="14" spans="1:14" ht="18" customHeight="1">
      <c r="A14" s="58"/>
      <c r="B14" s="24"/>
      <c r="C14" s="58"/>
      <c r="D14" s="24"/>
      <c r="E14" s="58"/>
      <c r="F14" s="24"/>
      <c r="G14" s="58"/>
      <c r="H14" s="24"/>
      <c r="I14" s="58"/>
      <c r="J14" s="24"/>
      <c r="K14" s="58"/>
      <c r="L14" s="24"/>
      <c r="M14" s="58"/>
      <c r="N14" s="24"/>
    </row>
    <row r="15" spans="1:14" ht="18" customHeight="1">
      <c r="A15" s="2">
        <f>M6+1</f>
        <v>46328</v>
      </c>
      <c r="B15" s="3"/>
      <c r="C15" s="2">
        <f>A15+1</f>
        <v>46329</v>
      </c>
      <c r="D15" s="3"/>
      <c r="E15" s="2">
        <f>C15+1</f>
        <v>46330</v>
      </c>
      <c r="F15" s="3"/>
      <c r="G15" s="2">
        <f>E15+1</f>
        <v>46331</v>
      </c>
      <c r="H15" s="3"/>
      <c r="I15" s="2">
        <f>G15+1</f>
        <v>46332</v>
      </c>
      <c r="J15" s="3"/>
      <c r="K15" s="4">
        <f>I15+1</f>
        <v>46333</v>
      </c>
      <c r="L15" s="5"/>
      <c r="M15" s="4">
        <f>K15+1</f>
        <v>46334</v>
      </c>
      <c r="N15" s="5"/>
    </row>
    <row r="16" spans="1:14" ht="18" customHeight="1">
      <c r="A16" s="50" t="s">
        <v>174</v>
      </c>
      <c r="B16" s="51"/>
      <c r="C16" s="50" t="s">
        <v>174</v>
      </c>
      <c r="D16" s="51"/>
      <c r="E16" s="50" t="s">
        <v>174</v>
      </c>
      <c r="F16" s="51"/>
      <c r="G16" s="50" t="s">
        <v>174</v>
      </c>
      <c r="H16" s="51"/>
      <c r="I16" s="50" t="s">
        <v>174</v>
      </c>
      <c r="J16" s="51"/>
      <c r="K16" s="50" t="s">
        <v>174</v>
      </c>
      <c r="L16" s="51"/>
      <c r="M16" s="50" t="s">
        <v>174</v>
      </c>
      <c r="N16" s="51"/>
    </row>
    <row r="17" spans="1:14" ht="18" customHeight="1">
      <c r="A17" s="27" t="s">
        <v>210</v>
      </c>
      <c r="B17" s="28"/>
      <c r="C17" s="27" t="s">
        <v>210</v>
      </c>
      <c r="D17" s="28"/>
      <c r="E17" s="27" t="s">
        <v>210</v>
      </c>
      <c r="F17" s="28"/>
      <c r="G17" s="27" t="s">
        <v>210</v>
      </c>
      <c r="H17" s="28"/>
      <c r="I17" s="27" t="s">
        <v>210</v>
      </c>
      <c r="J17" s="28"/>
      <c r="K17" s="26"/>
      <c r="L17" s="20"/>
      <c r="M17" s="26"/>
      <c r="N17" s="20"/>
    </row>
    <row r="18" spans="1:14" ht="18" customHeight="1">
      <c r="A18" s="19" t="s">
        <v>189</v>
      </c>
      <c r="B18" s="20"/>
      <c r="C18" s="19" t="s">
        <v>189</v>
      </c>
      <c r="D18" s="20"/>
      <c r="E18" s="19" t="s">
        <v>189</v>
      </c>
      <c r="F18" s="20"/>
      <c r="G18" s="19" t="s">
        <v>189</v>
      </c>
      <c r="H18" s="20"/>
      <c r="I18" s="19" t="s">
        <v>189</v>
      </c>
      <c r="J18" s="20"/>
      <c r="K18" s="19" t="s">
        <v>189</v>
      </c>
      <c r="L18" s="20"/>
      <c r="M18" s="19" t="s">
        <v>189</v>
      </c>
      <c r="N18" s="20"/>
    </row>
    <row r="19" spans="1:14" ht="18" customHeight="1">
      <c r="A19" s="21" t="s">
        <v>177</v>
      </c>
      <c r="B19" s="20"/>
      <c r="C19" s="21" t="s">
        <v>177</v>
      </c>
      <c r="D19" s="20"/>
      <c r="E19" s="21" t="s">
        <v>177</v>
      </c>
      <c r="F19" s="20"/>
      <c r="G19" s="21" t="s">
        <v>177</v>
      </c>
      <c r="H19" s="20"/>
      <c r="I19" s="21" t="s">
        <v>177</v>
      </c>
      <c r="J19" s="20"/>
      <c r="K19" s="21"/>
      <c r="L19" s="20"/>
      <c r="M19" s="21"/>
      <c r="N19" s="20"/>
    </row>
    <row r="20" spans="1:14" ht="18" customHeight="1">
      <c r="A20" s="56"/>
      <c r="B20" s="20"/>
      <c r="C20" s="56"/>
      <c r="D20" s="20"/>
      <c r="E20" s="56"/>
      <c r="F20" s="20"/>
      <c r="G20" s="56"/>
      <c r="H20" s="20"/>
      <c r="I20" s="56"/>
      <c r="J20" s="20"/>
      <c r="K20" s="56"/>
      <c r="L20" s="20"/>
      <c r="M20" s="56"/>
      <c r="N20" s="20"/>
    </row>
    <row r="21" spans="1:14" ht="18" customHeight="1">
      <c r="A21" s="23"/>
      <c r="B21" s="20"/>
      <c r="C21" s="22"/>
      <c r="D21" s="20"/>
      <c r="E21" s="23"/>
      <c r="F21" s="20"/>
      <c r="G21" s="22"/>
      <c r="H21" s="20"/>
      <c r="I21" s="22"/>
      <c r="J21" s="20"/>
      <c r="K21" s="22"/>
      <c r="L21" s="20"/>
      <c r="M21" s="22"/>
      <c r="N21" s="20"/>
    </row>
    <row r="22" spans="1:14" ht="18" customHeight="1">
      <c r="A22" s="25"/>
      <c r="B22" s="20"/>
      <c r="C22" s="25"/>
      <c r="D22" s="20"/>
      <c r="E22" s="25"/>
      <c r="F22" s="20"/>
      <c r="G22" s="25"/>
      <c r="H22" s="20"/>
      <c r="I22" s="25"/>
      <c r="J22" s="20"/>
      <c r="K22" s="25"/>
      <c r="L22" s="20"/>
      <c r="M22" s="25"/>
      <c r="N22" s="20"/>
    </row>
    <row r="23" spans="1:14" ht="30" customHeight="1">
      <c r="A23" s="58"/>
      <c r="B23" s="24"/>
      <c r="C23" s="58"/>
      <c r="D23" s="24"/>
      <c r="E23" s="58"/>
      <c r="F23" s="24"/>
      <c r="G23" s="58"/>
      <c r="H23" s="24"/>
      <c r="I23" s="58"/>
      <c r="J23" s="24"/>
      <c r="K23" s="58"/>
      <c r="L23" s="24"/>
      <c r="M23" s="54"/>
      <c r="N23" s="24"/>
    </row>
    <row r="24" spans="1:14" ht="18" customHeight="1">
      <c r="A24" s="2">
        <f>M15+1</f>
        <v>46335</v>
      </c>
      <c r="B24" s="3"/>
      <c r="C24" s="2">
        <f>A24+1</f>
        <v>46336</v>
      </c>
      <c r="D24" s="3"/>
      <c r="E24" s="2">
        <f>C24+1</f>
        <v>46337</v>
      </c>
      <c r="F24" s="3"/>
      <c r="G24" s="2">
        <f>E24+1</f>
        <v>46338</v>
      </c>
      <c r="H24" s="3"/>
      <c r="I24" s="2">
        <f>G24+1</f>
        <v>46339</v>
      </c>
      <c r="J24" s="3"/>
      <c r="K24" s="4">
        <f>I24+1</f>
        <v>46340</v>
      </c>
      <c r="L24" s="5"/>
      <c r="M24" s="4">
        <f>K24+1</f>
        <v>46341</v>
      </c>
      <c r="N24" s="5"/>
    </row>
    <row r="25" spans="1:14" ht="26.25" customHeight="1">
      <c r="A25" s="29" t="s">
        <v>186</v>
      </c>
      <c r="B25" s="20"/>
      <c r="C25" s="29" t="s">
        <v>186</v>
      </c>
      <c r="D25" s="20"/>
      <c r="E25" s="29" t="s">
        <v>186</v>
      </c>
      <c r="F25" s="20"/>
      <c r="G25" s="29" t="s">
        <v>186</v>
      </c>
      <c r="H25" s="20"/>
      <c r="I25" s="29" t="s">
        <v>186</v>
      </c>
      <c r="J25" s="20"/>
      <c r="K25" s="29" t="s">
        <v>207</v>
      </c>
      <c r="L25" s="20"/>
      <c r="M25" s="29" t="s">
        <v>207</v>
      </c>
      <c r="N25" s="20"/>
    </row>
    <row r="26" spans="1:14" ht="18" customHeight="1">
      <c r="A26" s="27" t="s">
        <v>178</v>
      </c>
      <c r="B26" s="20"/>
      <c r="C26" s="27" t="s">
        <v>178</v>
      </c>
      <c r="D26" s="20"/>
      <c r="E26" s="27" t="s">
        <v>178</v>
      </c>
      <c r="F26" s="20"/>
      <c r="G26" s="27" t="s">
        <v>178</v>
      </c>
      <c r="H26" s="20"/>
      <c r="I26" s="27" t="s">
        <v>178</v>
      </c>
      <c r="J26" s="20"/>
      <c r="K26" s="26"/>
      <c r="L26" s="20"/>
      <c r="M26" s="26"/>
      <c r="N26" s="20"/>
    </row>
    <row r="27" spans="1:14" ht="18" customHeight="1">
      <c r="A27" s="19" t="s">
        <v>202</v>
      </c>
      <c r="B27" s="20"/>
      <c r="C27" s="19" t="s">
        <v>202</v>
      </c>
      <c r="D27" s="20"/>
      <c r="E27" s="19" t="s">
        <v>202</v>
      </c>
      <c r="F27" s="20"/>
      <c r="G27" s="19" t="s">
        <v>202</v>
      </c>
      <c r="H27" s="20"/>
      <c r="I27" s="19" t="s">
        <v>202</v>
      </c>
      <c r="J27" s="20"/>
      <c r="K27" s="19" t="s">
        <v>202</v>
      </c>
      <c r="L27" s="20"/>
      <c r="M27" s="19" t="s">
        <v>202</v>
      </c>
      <c r="N27" s="20"/>
    </row>
    <row r="28" spans="1:14" ht="18" customHeight="1">
      <c r="A28" s="21" t="s">
        <v>187</v>
      </c>
      <c r="B28" s="20"/>
      <c r="C28" s="21" t="s">
        <v>187</v>
      </c>
      <c r="D28" s="20"/>
      <c r="E28" s="21" t="s">
        <v>187</v>
      </c>
      <c r="F28" s="20"/>
      <c r="G28" s="21" t="s">
        <v>187</v>
      </c>
      <c r="H28" s="20"/>
      <c r="I28" s="21" t="s">
        <v>187</v>
      </c>
      <c r="J28" s="20"/>
      <c r="K28" s="21"/>
      <c r="L28" s="20"/>
      <c r="M28" s="21"/>
      <c r="N28" s="20"/>
    </row>
    <row r="29" spans="1:14" ht="18" customHeight="1">
      <c r="A29" s="56"/>
      <c r="B29" s="20"/>
      <c r="C29" s="56"/>
      <c r="D29" s="20"/>
      <c r="E29" s="56"/>
      <c r="F29" s="20"/>
      <c r="G29" s="56"/>
      <c r="H29" s="20"/>
      <c r="I29" s="56"/>
      <c r="J29" s="20"/>
      <c r="K29" s="56"/>
      <c r="L29" s="20"/>
      <c r="M29" s="56"/>
      <c r="N29" s="20"/>
    </row>
    <row r="30" spans="1:14" ht="18" customHeight="1">
      <c r="A30" s="23"/>
      <c r="B30" s="20"/>
      <c r="C30" s="22"/>
      <c r="D30" s="20"/>
      <c r="E30" s="23"/>
      <c r="F30" s="20"/>
      <c r="G30" s="22"/>
      <c r="H30" s="20"/>
      <c r="I30" s="22"/>
      <c r="J30" s="20"/>
      <c r="K30" s="22"/>
      <c r="L30" s="20"/>
      <c r="M30" s="22"/>
      <c r="N30" s="20"/>
    </row>
    <row r="31" spans="1:14" ht="18" customHeight="1">
      <c r="A31" s="25"/>
      <c r="B31" s="20"/>
      <c r="C31" s="25"/>
      <c r="D31" s="20"/>
      <c r="E31" s="25"/>
      <c r="F31" s="20"/>
      <c r="G31" s="25"/>
      <c r="H31" s="20"/>
      <c r="I31" s="25"/>
      <c r="J31" s="20"/>
      <c r="K31" s="25"/>
      <c r="L31" s="20"/>
      <c r="M31" s="25"/>
      <c r="N31" s="20"/>
    </row>
    <row r="32" spans="1:14" ht="18" customHeight="1">
      <c r="A32" s="58"/>
      <c r="B32" s="24"/>
      <c r="C32" s="58"/>
      <c r="D32" s="24"/>
      <c r="E32" s="58"/>
      <c r="F32" s="24"/>
      <c r="G32" s="58"/>
      <c r="H32" s="24"/>
      <c r="I32" s="58"/>
      <c r="J32" s="24"/>
      <c r="K32" s="58"/>
      <c r="L32" s="24"/>
      <c r="M32" s="58"/>
      <c r="N32" s="24"/>
    </row>
    <row r="33" spans="1:14" ht="18" customHeight="1">
      <c r="A33" s="2">
        <f>M24+1</f>
        <v>46342</v>
      </c>
      <c r="B33" s="3"/>
      <c r="C33" s="2">
        <f>A33+1</f>
        <v>46343</v>
      </c>
      <c r="D33" s="3"/>
      <c r="E33" s="2">
        <f>C33+1</f>
        <v>46344</v>
      </c>
      <c r="F33" s="3"/>
      <c r="G33" s="2">
        <f>E33+1</f>
        <v>46345</v>
      </c>
      <c r="H33" s="3"/>
      <c r="I33" s="2">
        <f>G33+1</f>
        <v>46346</v>
      </c>
      <c r="J33" s="3"/>
      <c r="K33" s="4">
        <f>I33+1</f>
        <v>46347</v>
      </c>
      <c r="L33" s="5"/>
      <c r="M33" s="4">
        <f>K33+1</f>
        <v>46348</v>
      </c>
      <c r="N33" s="5"/>
    </row>
    <row r="34" spans="1:14" ht="18" customHeight="1">
      <c r="A34" s="29" t="s">
        <v>201</v>
      </c>
      <c r="B34" s="20"/>
      <c r="C34" s="29" t="s">
        <v>201</v>
      </c>
      <c r="D34" s="20"/>
      <c r="E34" s="29" t="s">
        <v>201</v>
      </c>
      <c r="F34" s="20"/>
      <c r="G34" s="29" t="s">
        <v>201</v>
      </c>
      <c r="H34" s="20"/>
      <c r="I34" s="29" t="s">
        <v>201</v>
      </c>
      <c r="J34" s="20"/>
      <c r="K34" s="29" t="s">
        <v>201</v>
      </c>
      <c r="L34" s="20"/>
      <c r="M34" s="29" t="s">
        <v>201</v>
      </c>
      <c r="N34" s="20"/>
    </row>
    <row r="35" spans="1:14" ht="18" customHeight="1">
      <c r="A35" s="27" t="s">
        <v>174</v>
      </c>
      <c r="B35" s="20"/>
      <c r="C35" s="27" t="s">
        <v>174</v>
      </c>
      <c r="D35" s="20"/>
      <c r="E35" s="27" t="s">
        <v>174</v>
      </c>
      <c r="F35" s="20"/>
      <c r="G35" s="27" t="s">
        <v>174</v>
      </c>
      <c r="H35" s="20"/>
      <c r="I35" s="27" t="s">
        <v>174</v>
      </c>
      <c r="J35" s="20"/>
      <c r="K35" s="26"/>
      <c r="L35" s="20"/>
      <c r="M35" s="26"/>
      <c r="N35" s="20"/>
    </row>
    <row r="36" spans="1:14" ht="18" customHeight="1">
      <c r="A36" s="19" t="s">
        <v>188</v>
      </c>
      <c r="B36" s="20"/>
      <c r="C36" s="19" t="s">
        <v>188</v>
      </c>
      <c r="D36" s="20"/>
      <c r="E36" s="19" t="s">
        <v>188</v>
      </c>
      <c r="F36" s="20"/>
      <c r="G36" s="19" t="s">
        <v>188</v>
      </c>
      <c r="H36" s="20"/>
      <c r="I36" s="19" t="s">
        <v>188</v>
      </c>
      <c r="J36" s="20"/>
      <c r="K36" s="19" t="s">
        <v>188</v>
      </c>
      <c r="L36" s="20"/>
      <c r="M36" s="19" t="s">
        <v>188</v>
      </c>
      <c r="N36" s="20"/>
    </row>
    <row r="37" spans="1:14" ht="18" customHeight="1">
      <c r="A37" s="21" t="s">
        <v>189</v>
      </c>
      <c r="B37" s="20"/>
      <c r="C37" s="21" t="s">
        <v>189</v>
      </c>
      <c r="D37" s="20"/>
      <c r="E37" s="21" t="s">
        <v>189</v>
      </c>
      <c r="F37" s="20"/>
      <c r="G37" s="21" t="s">
        <v>189</v>
      </c>
      <c r="H37" s="20"/>
      <c r="I37" s="21" t="s">
        <v>189</v>
      </c>
      <c r="J37" s="20"/>
      <c r="K37" s="30"/>
      <c r="L37" s="20"/>
      <c r="M37" s="30"/>
      <c r="N37" s="20"/>
    </row>
    <row r="38" spans="1:14" ht="18" customHeight="1">
      <c r="A38" s="56"/>
      <c r="B38" s="20"/>
      <c r="C38" s="56"/>
      <c r="D38" s="20"/>
      <c r="E38" s="56"/>
      <c r="F38" s="20"/>
      <c r="G38" s="56"/>
      <c r="H38" s="20"/>
      <c r="I38" s="56"/>
      <c r="J38" s="20"/>
      <c r="K38" s="56"/>
      <c r="L38" s="20"/>
      <c r="M38" s="56"/>
      <c r="N38" s="20"/>
    </row>
    <row r="39" spans="1:14" ht="18" customHeight="1">
      <c r="A39" s="23"/>
      <c r="B39" s="20"/>
      <c r="C39" s="22"/>
      <c r="D39" s="20"/>
      <c r="E39" s="23"/>
      <c r="F39" s="20"/>
      <c r="G39" s="22"/>
      <c r="H39" s="20"/>
      <c r="I39" s="22"/>
      <c r="J39" s="20"/>
      <c r="K39" s="22"/>
      <c r="L39" s="20"/>
      <c r="M39" s="22"/>
      <c r="N39" s="20"/>
    </row>
    <row r="40" spans="1:14" ht="18" customHeight="1">
      <c r="A40" s="25"/>
      <c r="B40" s="20"/>
      <c r="C40" s="25"/>
      <c r="D40" s="20"/>
      <c r="E40" s="25"/>
      <c r="F40" s="20"/>
      <c r="G40" s="25"/>
      <c r="H40" s="20"/>
      <c r="I40" s="25"/>
      <c r="J40" s="20"/>
      <c r="K40" s="25"/>
      <c r="L40" s="20"/>
      <c r="M40" s="25"/>
      <c r="N40" s="20"/>
    </row>
    <row r="41" spans="1:14" ht="18" customHeight="1">
      <c r="A41" s="58"/>
      <c r="B41" s="24"/>
      <c r="C41" s="58"/>
      <c r="D41" s="24"/>
      <c r="E41" s="58"/>
      <c r="F41" s="24"/>
      <c r="G41" s="58"/>
      <c r="H41" s="24"/>
      <c r="I41" s="58"/>
      <c r="J41" s="24"/>
      <c r="K41" s="58"/>
      <c r="L41" s="24"/>
      <c r="M41" s="58"/>
      <c r="N41" s="24"/>
    </row>
    <row r="42" spans="1:14" ht="18" customHeight="1">
      <c r="A42" s="2">
        <f>IF(M33="","",IF(MONTH(M33+1)&lt;&gt;MONTH($A$1),"",M33+1))</f>
        <v>46349</v>
      </c>
      <c r="B42" s="3"/>
      <c r="C42" s="2">
        <f>IF(A42="","",IF(MONTH(A42+1)&lt;&gt;MONTH($A$1),"",A42+1))</f>
        <v>46350</v>
      </c>
      <c r="D42" s="3"/>
      <c r="E42" s="2">
        <v>25</v>
      </c>
      <c r="F42" s="3"/>
      <c r="G42" s="2">
        <v>26</v>
      </c>
      <c r="H42" s="3"/>
      <c r="I42" s="2">
        <v>27</v>
      </c>
      <c r="J42" s="3" t="s">
        <v>213</v>
      </c>
      <c r="K42" s="4">
        <v>28</v>
      </c>
      <c r="L42" s="5"/>
      <c r="M42" s="4">
        <v>29</v>
      </c>
      <c r="N42" s="5"/>
    </row>
    <row r="43" spans="1:14" ht="18" customHeight="1">
      <c r="A43" s="29" t="s">
        <v>178</v>
      </c>
      <c r="B43" s="20"/>
      <c r="C43" s="29" t="s">
        <v>178</v>
      </c>
      <c r="D43" s="20"/>
      <c r="E43" s="29" t="s">
        <v>178</v>
      </c>
      <c r="F43" s="20"/>
      <c r="G43" s="29" t="s">
        <v>178</v>
      </c>
      <c r="H43" s="20"/>
      <c r="I43" s="29" t="s">
        <v>178</v>
      </c>
      <c r="J43" s="20"/>
      <c r="K43" s="29" t="s">
        <v>205</v>
      </c>
      <c r="L43" s="20"/>
      <c r="M43" s="29" t="s">
        <v>205</v>
      </c>
      <c r="N43" s="20"/>
    </row>
    <row r="44" spans="1:14" ht="18" customHeight="1">
      <c r="A44" s="27" t="s">
        <v>207</v>
      </c>
      <c r="B44" s="20"/>
      <c r="C44" s="27" t="s">
        <v>207</v>
      </c>
      <c r="D44" s="20"/>
      <c r="E44" s="27" t="s">
        <v>207</v>
      </c>
      <c r="F44" s="20"/>
      <c r="G44" s="27" t="s">
        <v>207</v>
      </c>
      <c r="H44" s="20"/>
      <c r="I44" s="27"/>
      <c r="J44" s="20"/>
      <c r="K44" s="26"/>
      <c r="L44" s="20"/>
      <c r="M44" s="26"/>
      <c r="N44" s="20"/>
    </row>
    <row r="45" spans="1:14" ht="18" customHeight="1">
      <c r="A45" s="19" t="s">
        <v>187</v>
      </c>
      <c r="B45" s="20"/>
      <c r="C45" s="19" t="s">
        <v>187</v>
      </c>
      <c r="D45" s="20"/>
      <c r="E45" s="19" t="s">
        <v>187</v>
      </c>
      <c r="F45" s="20"/>
      <c r="G45" s="19" t="s">
        <v>187</v>
      </c>
      <c r="H45" s="20"/>
      <c r="I45" s="19" t="s">
        <v>187</v>
      </c>
      <c r="J45" s="20"/>
      <c r="K45" s="19" t="s">
        <v>187</v>
      </c>
      <c r="L45" s="20"/>
      <c r="M45" s="19" t="s">
        <v>187</v>
      </c>
      <c r="N45" s="20"/>
    </row>
    <row r="46" spans="1:14" ht="18" customHeight="1">
      <c r="A46" s="21" t="s">
        <v>202</v>
      </c>
      <c r="B46" s="20"/>
      <c r="C46" s="21" t="s">
        <v>202</v>
      </c>
      <c r="D46" s="20"/>
      <c r="E46" s="21" t="s">
        <v>202</v>
      </c>
      <c r="F46" s="20"/>
      <c r="G46" s="21" t="s">
        <v>202</v>
      </c>
      <c r="H46" s="20"/>
      <c r="I46" s="21" t="s">
        <v>202</v>
      </c>
      <c r="J46" s="20"/>
      <c r="K46" s="30"/>
      <c r="L46" s="20"/>
      <c r="M46" s="30"/>
      <c r="N46" s="20"/>
    </row>
    <row r="47" spans="1:14" ht="18" customHeight="1">
      <c r="A47" s="56"/>
      <c r="B47" s="20"/>
      <c r="C47" s="56"/>
      <c r="D47" s="20"/>
      <c r="E47" s="56"/>
      <c r="F47" s="20"/>
      <c r="G47" s="56"/>
      <c r="H47" s="20"/>
      <c r="I47" s="56"/>
      <c r="J47" s="20"/>
      <c r="K47" s="57"/>
      <c r="L47" s="20"/>
      <c r="M47" s="57"/>
      <c r="N47" s="20"/>
    </row>
    <row r="48" spans="1:14" ht="18" customHeight="1">
      <c r="A48" s="23"/>
      <c r="B48" s="20"/>
      <c r="C48" s="22"/>
      <c r="D48" s="20"/>
      <c r="E48" s="23"/>
      <c r="F48" s="20"/>
      <c r="G48" s="22"/>
      <c r="H48" s="20"/>
      <c r="I48" s="22"/>
      <c r="J48" s="20"/>
      <c r="K48" s="22"/>
      <c r="L48" s="20"/>
      <c r="M48" s="22"/>
      <c r="N48" s="20"/>
    </row>
    <row r="49" spans="1:14" ht="18" customHeight="1">
      <c r="A49" s="25"/>
      <c r="B49" s="20"/>
      <c r="C49" s="25"/>
      <c r="D49" s="20"/>
      <c r="E49" s="25"/>
      <c r="F49" s="20"/>
      <c r="G49" s="25"/>
      <c r="H49" s="20"/>
      <c r="I49" s="25"/>
      <c r="J49" s="20"/>
      <c r="K49" s="25"/>
      <c r="L49" s="20"/>
      <c r="M49" s="25"/>
      <c r="N49" s="20"/>
    </row>
    <row r="50" spans="1:14" ht="18" customHeight="1">
      <c r="A50" s="58"/>
      <c r="B50" s="24"/>
      <c r="C50" s="58"/>
      <c r="D50" s="24"/>
      <c r="E50" s="58"/>
      <c r="F50" s="24"/>
      <c r="G50" s="58"/>
      <c r="H50" s="24"/>
      <c r="I50" s="58"/>
      <c r="J50" s="24"/>
      <c r="K50" s="58"/>
      <c r="L50" s="24"/>
      <c r="M50" s="58"/>
      <c r="N50" s="24"/>
    </row>
    <row r="51" spans="1:14" ht="18" customHeight="1">
      <c r="A51" s="2"/>
      <c r="B51" s="3"/>
      <c r="C51" s="2"/>
      <c r="D51" s="3"/>
      <c r="E51" s="46" t="s">
        <v>22</v>
      </c>
      <c r="F51" s="47"/>
      <c r="G51" s="48"/>
      <c r="H51" s="47"/>
      <c r="I51" s="47"/>
      <c r="J51" s="47"/>
      <c r="K51" s="47"/>
      <c r="L51" s="47"/>
      <c r="M51" s="47"/>
      <c r="N51" s="49"/>
    </row>
    <row r="52" spans="1:14" ht="18" customHeight="1">
      <c r="A52" s="29"/>
      <c r="B52" s="20"/>
      <c r="C52" s="44"/>
      <c r="D52" s="20"/>
      <c r="E52" s="45"/>
      <c r="F52" s="37"/>
      <c r="G52" s="37"/>
      <c r="H52" s="37"/>
      <c r="I52" s="37"/>
      <c r="J52" s="37"/>
      <c r="K52" s="37"/>
      <c r="L52" s="37"/>
      <c r="M52" s="37"/>
      <c r="N52" s="20"/>
    </row>
    <row r="53" spans="1:14" ht="18" customHeight="1">
      <c r="A53" s="27"/>
      <c r="B53" s="20"/>
      <c r="C53" s="26"/>
      <c r="D53" s="20"/>
      <c r="E53" s="45"/>
      <c r="F53" s="37"/>
      <c r="G53" s="37"/>
      <c r="H53" s="37"/>
      <c r="I53" s="37"/>
      <c r="J53" s="37"/>
      <c r="K53" s="37"/>
      <c r="L53" s="37"/>
      <c r="M53" s="37"/>
      <c r="N53" s="20"/>
    </row>
    <row r="54" spans="1:14" ht="18" customHeight="1">
      <c r="A54" s="19"/>
      <c r="B54" s="20"/>
      <c r="C54" s="35"/>
      <c r="D54" s="20"/>
      <c r="E54" s="45"/>
      <c r="F54" s="37"/>
      <c r="G54" s="37"/>
      <c r="H54" s="37"/>
      <c r="I54" s="37"/>
      <c r="J54" s="37"/>
      <c r="K54" s="37"/>
      <c r="L54" s="37"/>
      <c r="M54" s="37"/>
      <c r="N54" s="20"/>
    </row>
    <row r="55" spans="1:14" ht="18" customHeight="1">
      <c r="A55" s="21"/>
      <c r="B55" s="20"/>
      <c r="C55" s="30"/>
      <c r="D55" s="20"/>
      <c r="E55" s="6"/>
      <c r="F55" s="7"/>
      <c r="G55" s="7"/>
      <c r="H55" s="7"/>
      <c r="I55" s="7"/>
      <c r="J55" s="7"/>
      <c r="K55" s="7"/>
      <c r="L55" s="7"/>
      <c r="M55" s="7"/>
      <c r="N55" s="8"/>
    </row>
    <row r="56" spans="1:14" ht="18" customHeight="1">
      <c r="A56" s="56"/>
      <c r="B56" s="20"/>
      <c r="C56" s="57"/>
      <c r="D56" s="20"/>
      <c r="E56" s="6"/>
      <c r="F56" s="7"/>
      <c r="G56" s="7"/>
      <c r="H56" s="7"/>
      <c r="I56" s="7"/>
      <c r="J56" s="7"/>
      <c r="K56" s="7"/>
      <c r="L56" s="7"/>
      <c r="M56" s="7"/>
      <c r="N56" s="8"/>
    </row>
    <row r="57" spans="1:14" ht="18" customHeight="1">
      <c r="A57" s="23"/>
      <c r="B57" s="20"/>
      <c r="C57" s="22"/>
      <c r="D57" s="20"/>
      <c r="E57" s="6"/>
      <c r="F57" s="7"/>
      <c r="G57" s="7"/>
      <c r="H57" s="7"/>
      <c r="I57" s="7"/>
      <c r="J57" s="7"/>
      <c r="K57" s="7"/>
      <c r="L57" s="7"/>
      <c r="M57" s="7"/>
      <c r="N57" s="8"/>
    </row>
    <row r="58" spans="1:14" ht="18" customHeight="1">
      <c r="A58" s="25"/>
      <c r="B58" s="20"/>
      <c r="C58" s="31"/>
      <c r="D58" s="24"/>
      <c r="E58" s="32" t="s">
        <v>23</v>
      </c>
      <c r="F58" s="33"/>
      <c r="G58" s="33"/>
      <c r="H58" s="33"/>
      <c r="I58" s="34" t="str">
        <f>HYPERLINK("https://www.vertex42.com/calendars/academic-calendar.html","https://www.vertex42.com/calendars/academic-calendar.html")</f>
        <v>https://www.vertex42.com/calendars/academic-calendar.html</v>
      </c>
      <c r="J58" s="33"/>
      <c r="K58" s="33"/>
      <c r="L58" s="33"/>
      <c r="M58" s="33"/>
      <c r="N58" s="24"/>
    </row>
  </sheetData>
  <mergeCells count="319">
    <mergeCell ref="E41:F41"/>
    <mergeCell ref="A34:B34"/>
    <mergeCell ref="A35:B35"/>
    <mergeCell ref="M45:N45"/>
    <mergeCell ref="M46:N46"/>
    <mergeCell ref="M47:N47"/>
    <mergeCell ref="M44:N44"/>
    <mergeCell ref="M43:N43"/>
    <mergeCell ref="A40:B40"/>
    <mergeCell ref="C40:D40"/>
    <mergeCell ref="C44:D44"/>
    <mergeCell ref="C43:D43"/>
    <mergeCell ref="C38:D38"/>
    <mergeCell ref="A38:B38"/>
    <mergeCell ref="A39:B39"/>
    <mergeCell ref="A41:B41"/>
    <mergeCell ref="C39:D39"/>
    <mergeCell ref="C41:D41"/>
    <mergeCell ref="I38:J38"/>
    <mergeCell ref="G40:H40"/>
    <mergeCell ref="E40:F40"/>
    <mergeCell ref="I40:J40"/>
    <mergeCell ref="I39:J39"/>
    <mergeCell ref="E39:F39"/>
    <mergeCell ref="M49:N49"/>
    <mergeCell ref="M50:N50"/>
    <mergeCell ref="K35:L35"/>
    <mergeCell ref="K34:L34"/>
    <mergeCell ref="K38:L38"/>
    <mergeCell ref="K37:L37"/>
    <mergeCell ref="M37:N37"/>
    <mergeCell ref="M38:N38"/>
    <mergeCell ref="K36:L36"/>
    <mergeCell ref="M36:N36"/>
    <mergeCell ref="M35:N35"/>
    <mergeCell ref="M34:N34"/>
    <mergeCell ref="M39:N39"/>
    <mergeCell ref="K41:L41"/>
    <mergeCell ref="M41:N41"/>
    <mergeCell ref="K40:L40"/>
    <mergeCell ref="M40:N40"/>
    <mergeCell ref="K39:L39"/>
    <mergeCell ref="A30:B30"/>
    <mergeCell ref="C30:D30"/>
    <mergeCell ref="C32:D32"/>
    <mergeCell ref="C22:D22"/>
    <mergeCell ref="C23:D23"/>
    <mergeCell ref="C35:D35"/>
    <mergeCell ref="C36:D36"/>
    <mergeCell ref="C37:D37"/>
    <mergeCell ref="C34:D34"/>
    <mergeCell ref="C31:D31"/>
    <mergeCell ref="A37:B37"/>
    <mergeCell ref="A36:B36"/>
    <mergeCell ref="A31:B31"/>
    <mergeCell ref="A32:B32"/>
    <mergeCell ref="A29:B29"/>
    <mergeCell ref="C29:D29"/>
    <mergeCell ref="A28:B28"/>
    <mergeCell ref="C28:D28"/>
    <mergeCell ref="C20:D20"/>
    <mergeCell ref="C21:D21"/>
    <mergeCell ref="G27:H27"/>
    <mergeCell ref="I26:J26"/>
    <mergeCell ref="I27:J27"/>
    <mergeCell ref="G23:H23"/>
    <mergeCell ref="I23:J23"/>
    <mergeCell ref="A21:B21"/>
    <mergeCell ref="A22:B22"/>
    <mergeCell ref="A27:B27"/>
    <mergeCell ref="A25:B25"/>
    <mergeCell ref="A20:B20"/>
    <mergeCell ref="A23:B23"/>
    <mergeCell ref="A26:B26"/>
    <mergeCell ref="C27:D27"/>
    <mergeCell ref="C25:D25"/>
    <mergeCell ref="C26:D26"/>
    <mergeCell ref="M25:N25"/>
    <mergeCell ref="M26:N26"/>
    <mergeCell ref="M29:N29"/>
    <mergeCell ref="M30:N30"/>
    <mergeCell ref="M32:N32"/>
    <mergeCell ref="M31:N31"/>
    <mergeCell ref="G32:H32"/>
    <mergeCell ref="M27:N27"/>
    <mergeCell ref="M28:N28"/>
    <mergeCell ref="K31:L31"/>
    <mergeCell ref="K32:L32"/>
    <mergeCell ref="G39:H39"/>
    <mergeCell ref="E37:F37"/>
    <mergeCell ref="G37:H37"/>
    <mergeCell ref="E34:F34"/>
    <mergeCell ref="G31:H31"/>
    <mergeCell ref="G34:H34"/>
    <mergeCell ref="I36:J36"/>
    <mergeCell ref="I37:J37"/>
    <mergeCell ref="G36:H36"/>
    <mergeCell ref="E32:F32"/>
    <mergeCell ref="E31:F31"/>
    <mergeCell ref="I31:J31"/>
    <mergeCell ref="I32:J32"/>
    <mergeCell ref="E36:F36"/>
    <mergeCell ref="E35:F35"/>
    <mergeCell ref="I34:J34"/>
    <mergeCell ref="I35:J35"/>
    <mergeCell ref="G35:H35"/>
    <mergeCell ref="E38:F38"/>
    <mergeCell ref="G38:H38"/>
    <mergeCell ref="I41:J41"/>
    <mergeCell ref="G41:H41"/>
    <mergeCell ref="A57:B57"/>
    <mergeCell ref="A56:B56"/>
    <mergeCell ref="C54:D54"/>
    <mergeCell ref="E58:H58"/>
    <mergeCell ref="I58:N58"/>
    <mergeCell ref="C58:D58"/>
    <mergeCell ref="A58:B58"/>
    <mergeCell ref="C57:D57"/>
    <mergeCell ref="A54:B54"/>
    <mergeCell ref="C56:D56"/>
    <mergeCell ref="M48:N48"/>
    <mergeCell ref="I48:J48"/>
    <mergeCell ref="G51:N51"/>
    <mergeCell ref="E53:N53"/>
    <mergeCell ref="E54:N54"/>
    <mergeCell ref="E51:F51"/>
    <mergeCell ref="E50:F50"/>
    <mergeCell ref="K50:L50"/>
    <mergeCell ref="A55:B55"/>
    <mergeCell ref="C55:D55"/>
    <mergeCell ref="E52:N52"/>
    <mergeCell ref="C52:D52"/>
    <mergeCell ref="C53:D53"/>
    <mergeCell ref="A52:B52"/>
    <mergeCell ref="A53:B53"/>
    <mergeCell ref="G50:H50"/>
    <mergeCell ref="I50:J50"/>
    <mergeCell ref="A50:B50"/>
    <mergeCell ref="C50:D50"/>
    <mergeCell ref="I43:J43"/>
    <mergeCell ref="K43:L43"/>
    <mergeCell ref="I44:J44"/>
    <mergeCell ref="K44:L44"/>
    <mergeCell ref="K45:L45"/>
    <mergeCell ref="E48:F48"/>
    <mergeCell ref="C48:D48"/>
    <mergeCell ref="C47:D47"/>
    <mergeCell ref="G46:H46"/>
    <mergeCell ref="G48:H48"/>
    <mergeCell ref="E47:F47"/>
    <mergeCell ref="I47:J47"/>
    <mergeCell ref="I45:J45"/>
    <mergeCell ref="G47:H47"/>
    <mergeCell ref="I46:J46"/>
    <mergeCell ref="K48:L48"/>
    <mergeCell ref="G43:H43"/>
    <mergeCell ref="I49:J49"/>
    <mergeCell ref="K49:L49"/>
    <mergeCell ref="C49:D49"/>
    <mergeCell ref="E45:F45"/>
    <mergeCell ref="G45:H45"/>
    <mergeCell ref="C46:D46"/>
    <mergeCell ref="C45:D45"/>
    <mergeCell ref="K46:L46"/>
    <mergeCell ref="K47:L47"/>
    <mergeCell ref="A48:B48"/>
    <mergeCell ref="A49:B49"/>
    <mergeCell ref="A47:B47"/>
    <mergeCell ref="A46:B46"/>
    <mergeCell ref="A43:B43"/>
    <mergeCell ref="A44:B44"/>
    <mergeCell ref="A45:B45"/>
    <mergeCell ref="E49:F49"/>
    <mergeCell ref="G49:H49"/>
    <mergeCell ref="E44:F44"/>
    <mergeCell ref="E43:F43"/>
    <mergeCell ref="E46:F46"/>
    <mergeCell ref="G44:H44"/>
    <mergeCell ref="K18:L18"/>
    <mergeCell ref="K19:L19"/>
    <mergeCell ref="K20:L20"/>
    <mergeCell ref="K21:L21"/>
    <mergeCell ref="K29:L29"/>
    <mergeCell ref="K27:L27"/>
    <mergeCell ref="K28:L28"/>
    <mergeCell ref="E25:F25"/>
    <mergeCell ref="E23:F23"/>
    <mergeCell ref="E27:F27"/>
    <mergeCell ref="E28:F28"/>
    <mergeCell ref="G28:H28"/>
    <mergeCell ref="I25:J25"/>
    <mergeCell ref="G29:H29"/>
    <mergeCell ref="E30:F30"/>
    <mergeCell ref="E29:F29"/>
    <mergeCell ref="G25:H25"/>
    <mergeCell ref="G26:H26"/>
    <mergeCell ref="K22:L22"/>
    <mergeCell ref="K23:L23"/>
    <mergeCell ref="K25:L25"/>
    <mergeCell ref="K26:L26"/>
    <mergeCell ref="E26:F26"/>
    <mergeCell ref="K30:L30"/>
    <mergeCell ref="G22:H22"/>
    <mergeCell ref="I22:J22"/>
    <mergeCell ref="I28:J28"/>
    <mergeCell ref="I29:J29"/>
    <mergeCell ref="I30:J30"/>
    <mergeCell ref="G30:H30"/>
    <mergeCell ref="C17:D17"/>
    <mergeCell ref="C18:D18"/>
    <mergeCell ref="C19:D19"/>
    <mergeCell ref="E13:F13"/>
    <mergeCell ref="C13:D13"/>
    <mergeCell ref="A13:B13"/>
    <mergeCell ref="A19:B19"/>
    <mergeCell ref="A18:B18"/>
    <mergeCell ref="A16:B16"/>
    <mergeCell ref="A17:B17"/>
    <mergeCell ref="A14:B14"/>
    <mergeCell ref="C16:D16"/>
    <mergeCell ref="C14:D14"/>
    <mergeCell ref="C12:D12"/>
    <mergeCell ref="A12:B12"/>
    <mergeCell ref="A11:B11"/>
    <mergeCell ref="C11:D11"/>
    <mergeCell ref="A10:B10"/>
    <mergeCell ref="E9:F9"/>
    <mergeCell ref="G9:H9"/>
    <mergeCell ref="A8:B8"/>
    <mergeCell ref="A7:B7"/>
    <mergeCell ref="C9:D9"/>
    <mergeCell ref="C8:D8"/>
    <mergeCell ref="C7:D7"/>
    <mergeCell ref="A9:B9"/>
    <mergeCell ref="E12:F12"/>
    <mergeCell ref="G12:H12"/>
    <mergeCell ref="K1:N1"/>
    <mergeCell ref="E8:F8"/>
    <mergeCell ref="E10:F10"/>
    <mergeCell ref="K9:L9"/>
    <mergeCell ref="K8:L8"/>
    <mergeCell ref="K7:L7"/>
    <mergeCell ref="I10:J10"/>
    <mergeCell ref="M9:N9"/>
    <mergeCell ref="C10:D10"/>
    <mergeCell ref="C3:D3"/>
    <mergeCell ref="G3:H3"/>
    <mergeCell ref="I3:J3"/>
    <mergeCell ref="E3:F3"/>
    <mergeCell ref="A2:N2"/>
    <mergeCell ref="A3:B3"/>
    <mergeCell ref="A1:B1"/>
    <mergeCell ref="C5:D5"/>
    <mergeCell ref="A5:B5"/>
    <mergeCell ref="E5:F5"/>
    <mergeCell ref="G5:H5"/>
    <mergeCell ref="I5:J5"/>
    <mergeCell ref="A4:N4"/>
    <mergeCell ref="M10:N10"/>
    <mergeCell ref="M11:N11"/>
    <mergeCell ref="M12:N12"/>
    <mergeCell ref="M8:N8"/>
    <mergeCell ref="M7:N7"/>
    <mergeCell ref="K5:L5"/>
    <mergeCell ref="M5:N5"/>
    <mergeCell ref="M3:N3"/>
    <mergeCell ref="K3:L3"/>
    <mergeCell ref="E21:F21"/>
    <mergeCell ref="E20:F20"/>
    <mergeCell ref="E17:F17"/>
    <mergeCell ref="E18:F18"/>
    <mergeCell ref="G7:H7"/>
    <mergeCell ref="I7:J7"/>
    <mergeCell ref="E7:F7"/>
    <mergeCell ref="G10:H10"/>
    <mergeCell ref="G18:H18"/>
    <mergeCell ref="K13:L13"/>
    <mergeCell ref="I13:J13"/>
    <mergeCell ref="M13:N13"/>
    <mergeCell ref="M14:N14"/>
    <mergeCell ref="E11:F11"/>
    <mergeCell ref="G11:H11"/>
    <mergeCell ref="K14:L14"/>
    <mergeCell ref="M22:N22"/>
    <mergeCell ref="M23:N23"/>
    <mergeCell ref="E14:F14"/>
    <mergeCell ref="E16:F16"/>
    <mergeCell ref="G17:H17"/>
    <mergeCell ref="G16:H16"/>
    <mergeCell ref="G14:H14"/>
    <mergeCell ref="G19:H19"/>
    <mergeCell ref="G20:H20"/>
    <mergeCell ref="E22:F22"/>
    <mergeCell ref="E19:F19"/>
    <mergeCell ref="K17:L17"/>
    <mergeCell ref="I17:J17"/>
    <mergeCell ref="M16:N16"/>
    <mergeCell ref="M17:N17"/>
    <mergeCell ref="M18:N18"/>
    <mergeCell ref="M19:N19"/>
    <mergeCell ref="M20:N20"/>
    <mergeCell ref="M21:N21"/>
    <mergeCell ref="G21:H21"/>
    <mergeCell ref="I18:J18"/>
    <mergeCell ref="I19:J19"/>
    <mergeCell ref="I20:J20"/>
    <mergeCell ref="I21:J21"/>
    <mergeCell ref="K11:L11"/>
    <mergeCell ref="K12:L12"/>
    <mergeCell ref="K16:L16"/>
    <mergeCell ref="I16:J16"/>
    <mergeCell ref="I8:J8"/>
    <mergeCell ref="I14:J14"/>
    <mergeCell ref="I9:J9"/>
    <mergeCell ref="G8:H8"/>
    <mergeCell ref="K10:L10"/>
    <mergeCell ref="I11:J11"/>
    <mergeCell ref="I12:J12"/>
    <mergeCell ref="G13:H13"/>
  </mergeCells>
  <printOptions horizontalCentered="1" gridLines="1"/>
  <pageMargins left="0.5" right="0.5" top="0.25" bottom="0.25" header="0" footer="0"/>
  <pageSetup scale="80" pageOrder="overThenDown" orientation="portrait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  <pageSetUpPr fitToPage="1"/>
  </sheetPr>
  <dimension ref="A1:N58"/>
  <sheetViews>
    <sheetView showGridLines="0" workbookViewId="0">
      <selection activeCell="E12" sqref="E12:F12"/>
    </sheetView>
  </sheetViews>
  <sheetFormatPr defaultColWidth="12.5703125" defaultRowHeight="12.75" customHeight="1"/>
  <cols>
    <col min="1" max="1" width="3.85546875" customWidth="1"/>
    <col min="2" max="2" width="13.42578125" customWidth="1"/>
    <col min="3" max="3" width="3.85546875" customWidth="1"/>
    <col min="4" max="4" width="13.42578125" customWidth="1"/>
    <col min="5" max="5" width="3.85546875" customWidth="1"/>
    <col min="6" max="6" width="13.42578125" customWidth="1"/>
    <col min="7" max="7" width="3.85546875" customWidth="1"/>
    <col min="8" max="8" width="13.42578125" customWidth="1"/>
    <col min="9" max="9" width="3.85546875" customWidth="1"/>
    <col min="10" max="10" width="15.42578125" customWidth="1"/>
    <col min="11" max="11" width="3.85546875" customWidth="1"/>
    <col min="12" max="12" width="13.42578125" customWidth="1"/>
    <col min="13" max="13" width="3.85546875" customWidth="1"/>
    <col min="14" max="14" width="13.42578125" customWidth="1"/>
  </cols>
  <sheetData>
    <row r="1" spans="1:14" ht="18" customHeight="1">
      <c r="A1" s="36">
        <f>EDATE('©'!A17,41)</f>
        <v>46357</v>
      </c>
      <c r="B1" s="37"/>
      <c r="C1" s="1"/>
      <c r="D1" s="1"/>
      <c r="E1" s="1"/>
      <c r="F1" s="1"/>
      <c r="G1" s="1"/>
      <c r="H1" s="1"/>
      <c r="I1" s="1"/>
      <c r="J1" s="1"/>
      <c r="K1" s="38" t="s">
        <v>0</v>
      </c>
      <c r="L1" s="37"/>
      <c r="M1" s="37"/>
      <c r="N1" s="37"/>
    </row>
    <row r="2" spans="1:14" ht="18" customHeight="1">
      <c r="A2" s="39" t="s">
        <v>166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1:14" ht="18" customHeight="1">
      <c r="A3" s="29" t="s">
        <v>167</v>
      </c>
      <c r="B3" s="37"/>
      <c r="C3" s="27" t="s">
        <v>168</v>
      </c>
      <c r="D3" s="37"/>
      <c r="E3" s="19" t="s">
        <v>169</v>
      </c>
      <c r="F3" s="37"/>
      <c r="G3" s="21" t="s">
        <v>170</v>
      </c>
      <c r="H3" s="37"/>
      <c r="I3" s="56" t="s">
        <v>171</v>
      </c>
      <c r="J3" s="37"/>
      <c r="K3" s="23" t="s">
        <v>172</v>
      </c>
      <c r="L3" s="37"/>
      <c r="M3" s="25" t="s">
        <v>173</v>
      </c>
      <c r="N3" s="37"/>
    </row>
    <row r="4" spans="1:14" ht="69" customHeight="1">
      <c r="A4" s="42" t="str">
        <f>UPPER(TEXT(A1,"mmmm yyyy"))</f>
        <v>DECEMBER 2026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</row>
    <row r="5" spans="1:14" ht="18" customHeight="1">
      <c r="A5" s="40">
        <f>A15</f>
        <v>46363</v>
      </c>
      <c r="B5" s="41"/>
      <c r="C5" s="40">
        <f>C15</f>
        <v>46364</v>
      </c>
      <c r="D5" s="41"/>
      <c r="E5" s="40">
        <f>E15</f>
        <v>46365</v>
      </c>
      <c r="F5" s="41"/>
      <c r="G5" s="40">
        <f>G15</f>
        <v>46366</v>
      </c>
      <c r="H5" s="41"/>
      <c r="I5" s="40">
        <f>I15</f>
        <v>46367</v>
      </c>
      <c r="J5" s="41"/>
      <c r="K5" s="40">
        <f>K15</f>
        <v>46368</v>
      </c>
      <c r="L5" s="41"/>
      <c r="M5" s="40">
        <f>M15</f>
        <v>46369</v>
      </c>
      <c r="N5" s="41"/>
    </row>
    <row r="6" spans="1:14" ht="18" customHeight="1">
      <c r="A6" s="2" t="str">
        <f>IF(WEEKDAY($A$1,1)=startday,$A$1,"")</f>
        <v/>
      </c>
      <c r="B6" s="3"/>
      <c r="C6" s="2">
        <f>IF(A6="",IF(WEEKDAY($A$1,1)=MOD(startday,7)+1,$A$1,""),A6+1)</f>
        <v>46357</v>
      </c>
      <c r="D6" s="3"/>
      <c r="E6" s="2">
        <f>IF(C6="",IF(WEEKDAY($A$1,1)=MOD(startday,7)+2,$A$1,""),C6+1)</f>
        <v>46358</v>
      </c>
      <c r="F6" s="3"/>
      <c r="G6" s="2">
        <f>IF(E6="",IF(WEEKDAY($A$1,1)=MOD(startday,7)+3,$A$1,""),E6+1)</f>
        <v>46359</v>
      </c>
      <c r="H6" s="3"/>
      <c r="I6" s="2">
        <f>IF(G6="",IF(WEEKDAY($A$1,1)=MOD(startday,7)+4,$A$1,""),G6+1)</f>
        <v>46360</v>
      </c>
      <c r="J6" s="3"/>
      <c r="K6" s="4">
        <f>IF(I6="",IF(WEEKDAY($A$1,1)=MOD(startday,7)+5,$A$1,""),I6+1)</f>
        <v>46361</v>
      </c>
      <c r="L6" s="5"/>
      <c r="M6" s="4">
        <f>IF(K6="",IF(WEEKDAY($A$1,1)=MOD(startday+5,7)+1,$A$1,""),K6+1)</f>
        <v>46362</v>
      </c>
      <c r="N6" s="5"/>
    </row>
    <row r="7" spans="1:14" ht="18" customHeight="1">
      <c r="A7" s="29" t="s">
        <v>210</v>
      </c>
      <c r="B7" s="20"/>
      <c r="C7" s="29" t="s">
        <v>210</v>
      </c>
      <c r="D7" s="20"/>
      <c r="E7" s="29" t="s">
        <v>210</v>
      </c>
      <c r="F7" s="20"/>
      <c r="G7" s="29" t="s">
        <v>210</v>
      </c>
      <c r="H7" s="20"/>
      <c r="I7" s="29" t="s">
        <v>210</v>
      </c>
      <c r="J7" s="20"/>
      <c r="K7" s="29" t="s">
        <v>210</v>
      </c>
      <c r="L7" s="20"/>
      <c r="M7" s="29" t="s">
        <v>210</v>
      </c>
      <c r="N7" s="20"/>
    </row>
    <row r="8" spans="1:14" ht="18" customHeight="1">
      <c r="A8" s="27" t="s">
        <v>174</v>
      </c>
      <c r="B8" s="20"/>
      <c r="C8" s="27" t="s">
        <v>174</v>
      </c>
      <c r="D8" s="20"/>
      <c r="E8" s="27" t="s">
        <v>174</v>
      </c>
      <c r="F8" s="20"/>
      <c r="G8" s="27" t="s">
        <v>174</v>
      </c>
      <c r="H8" s="20"/>
      <c r="I8" s="27" t="s">
        <v>174</v>
      </c>
      <c r="J8" s="20"/>
      <c r="K8" s="27"/>
      <c r="L8" s="20"/>
      <c r="M8" s="27"/>
      <c r="N8" s="20"/>
    </row>
    <row r="9" spans="1:14" ht="18" customHeight="1">
      <c r="A9" s="19" t="s">
        <v>206</v>
      </c>
      <c r="B9" s="20"/>
      <c r="C9" s="19" t="s">
        <v>206</v>
      </c>
      <c r="D9" s="20"/>
      <c r="E9" s="19" t="s">
        <v>206</v>
      </c>
      <c r="F9" s="20"/>
      <c r="G9" s="19" t="s">
        <v>206</v>
      </c>
      <c r="H9" s="20"/>
      <c r="I9" s="19" t="s">
        <v>206</v>
      </c>
      <c r="J9" s="20"/>
      <c r="K9" s="19" t="s">
        <v>206</v>
      </c>
      <c r="L9" s="20"/>
      <c r="M9" s="19" t="s">
        <v>206</v>
      </c>
      <c r="N9" s="20"/>
    </row>
    <row r="10" spans="1:14" ht="18" customHeight="1">
      <c r="A10" s="21" t="s">
        <v>177</v>
      </c>
      <c r="B10" s="20"/>
      <c r="C10" s="21" t="s">
        <v>177</v>
      </c>
      <c r="D10" s="20"/>
      <c r="E10" s="21" t="s">
        <v>177</v>
      </c>
      <c r="F10" s="20"/>
      <c r="G10" s="21" t="s">
        <v>177</v>
      </c>
      <c r="H10" s="20"/>
      <c r="I10" s="21" t="s">
        <v>177</v>
      </c>
      <c r="J10" s="20"/>
      <c r="K10" s="30"/>
      <c r="L10" s="20"/>
      <c r="M10" s="30"/>
      <c r="N10" s="20"/>
    </row>
    <row r="11" spans="1:14" ht="18" customHeight="1">
      <c r="A11" s="56"/>
      <c r="B11" s="20"/>
      <c r="C11" s="57"/>
      <c r="D11" s="20"/>
      <c r="E11" s="56"/>
      <c r="F11" s="20"/>
      <c r="G11" s="56"/>
      <c r="H11" s="20"/>
      <c r="I11" s="56"/>
      <c r="J11" s="20"/>
      <c r="K11" s="56"/>
      <c r="L11" s="20"/>
      <c r="M11" s="56"/>
      <c r="N11" s="20"/>
    </row>
    <row r="12" spans="1:14" ht="18" customHeight="1">
      <c r="A12" s="23"/>
      <c r="B12" s="20"/>
      <c r="C12" s="22"/>
      <c r="D12" s="20"/>
      <c r="E12" s="23"/>
      <c r="F12" s="20"/>
      <c r="G12" s="22"/>
      <c r="H12" s="20"/>
      <c r="I12" s="22"/>
      <c r="J12" s="20"/>
      <c r="K12" s="22"/>
      <c r="L12" s="20"/>
      <c r="M12" s="22"/>
      <c r="N12" s="20"/>
    </row>
    <row r="13" spans="1:14" ht="18" customHeight="1">
      <c r="A13" s="25"/>
      <c r="B13" s="20"/>
      <c r="C13" s="25"/>
      <c r="D13" s="20"/>
      <c r="E13" s="25"/>
      <c r="F13" s="20"/>
      <c r="G13" s="25"/>
      <c r="H13" s="20"/>
      <c r="I13" s="25"/>
      <c r="J13" s="20"/>
      <c r="K13" s="25"/>
      <c r="L13" s="20"/>
      <c r="M13" s="25"/>
      <c r="N13" s="20"/>
    </row>
    <row r="14" spans="1:14" ht="18" customHeight="1">
      <c r="A14" s="58"/>
      <c r="B14" s="24"/>
      <c r="C14" s="58"/>
      <c r="D14" s="24"/>
      <c r="E14" s="58"/>
      <c r="F14" s="24"/>
      <c r="G14" s="58"/>
      <c r="H14" s="24"/>
      <c r="I14" s="58"/>
      <c r="J14" s="24"/>
      <c r="K14" s="58"/>
      <c r="L14" s="24"/>
      <c r="M14" s="58"/>
      <c r="N14" s="24"/>
    </row>
    <row r="15" spans="1:14" ht="18" customHeight="1">
      <c r="A15" s="2">
        <f>M6+1</f>
        <v>46363</v>
      </c>
      <c r="B15" s="3"/>
      <c r="C15" s="2">
        <f>A15+1</f>
        <v>46364</v>
      </c>
      <c r="D15" s="3"/>
      <c r="E15" s="2">
        <f>C15+1</f>
        <v>46365</v>
      </c>
      <c r="F15" s="3"/>
      <c r="G15" s="2">
        <f>E15+1</f>
        <v>46366</v>
      </c>
      <c r="H15" s="3"/>
      <c r="I15" s="2">
        <f>G15+1</f>
        <v>46367</v>
      </c>
      <c r="J15" s="3"/>
      <c r="K15" s="4">
        <f>I15+1</f>
        <v>46368</v>
      </c>
      <c r="L15" s="5"/>
      <c r="M15" s="4">
        <f>K15+1</f>
        <v>46369</v>
      </c>
      <c r="N15" s="5"/>
    </row>
    <row r="16" spans="1:14" ht="18" customHeight="1">
      <c r="A16" s="50" t="s">
        <v>205</v>
      </c>
      <c r="B16" s="51"/>
      <c r="C16" s="50" t="s">
        <v>205</v>
      </c>
      <c r="D16" s="51"/>
      <c r="E16" s="50" t="s">
        <v>205</v>
      </c>
      <c r="F16" s="51"/>
      <c r="G16" s="50" t="s">
        <v>205</v>
      </c>
      <c r="H16" s="51"/>
      <c r="I16" s="50" t="s">
        <v>205</v>
      </c>
      <c r="J16" s="51"/>
      <c r="K16" s="50" t="s">
        <v>178</v>
      </c>
      <c r="L16" s="51"/>
      <c r="M16" s="50" t="s">
        <v>178</v>
      </c>
      <c r="N16" s="51"/>
    </row>
    <row r="17" spans="1:14" ht="18" customHeight="1">
      <c r="A17" s="27" t="s">
        <v>186</v>
      </c>
      <c r="B17" s="28"/>
      <c r="C17" s="27" t="s">
        <v>186</v>
      </c>
      <c r="D17" s="28"/>
      <c r="E17" s="27" t="s">
        <v>186</v>
      </c>
      <c r="F17" s="28"/>
      <c r="G17" s="27" t="s">
        <v>186</v>
      </c>
      <c r="H17" s="28"/>
      <c r="I17" s="27" t="s">
        <v>186</v>
      </c>
      <c r="J17" s="28"/>
      <c r="K17" s="26"/>
      <c r="L17" s="20"/>
      <c r="M17" s="26"/>
      <c r="N17" s="20"/>
    </row>
    <row r="18" spans="1:14" ht="18" customHeight="1">
      <c r="A18" s="19" t="s">
        <v>203</v>
      </c>
      <c r="B18" s="20"/>
      <c r="C18" s="19" t="s">
        <v>203</v>
      </c>
      <c r="D18" s="20"/>
      <c r="E18" s="19" t="s">
        <v>203</v>
      </c>
      <c r="F18" s="20"/>
      <c r="G18" s="19" t="s">
        <v>203</v>
      </c>
      <c r="H18" s="20"/>
      <c r="I18" s="19" t="s">
        <v>203</v>
      </c>
      <c r="J18" s="20"/>
      <c r="K18" s="19" t="s">
        <v>203</v>
      </c>
      <c r="L18" s="20"/>
      <c r="M18" s="19" t="s">
        <v>203</v>
      </c>
      <c r="N18" s="20"/>
    </row>
    <row r="19" spans="1:14" ht="18" customHeight="1">
      <c r="A19" s="21" t="s">
        <v>176</v>
      </c>
      <c r="B19" s="20"/>
      <c r="C19" s="21" t="s">
        <v>176</v>
      </c>
      <c r="D19" s="20"/>
      <c r="E19" s="21" t="s">
        <v>176</v>
      </c>
      <c r="F19" s="20"/>
      <c r="G19" s="21" t="s">
        <v>176</v>
      </c>
      <c r="H19" s="20"/>
      <c r="I19" s="21" t="s">
        <v>176</v>
      </c>
      <c r="J19" s="20"/>
      <c r="K19" s="21"/>
      <c r="L19" s="20"/>
      <c r="M19" s="21"/>
      <c r="N19" s="20"/>
    </row>
    <row r="20" spans="1:14" ht="18" customHeight="1">
      <c r="A20" s="56"/>
      <c r="B20" s="20"/>
      <c r="C20" s="56"/>
      <c r="D20" s="20"/>
      <c r="E20" s="56"/>
      <c r="F20" s="20"/>
      <c r="G20" s="56"/>
      <c r="H20" s="20"/>
      <c r="I20" s="56"/>
      <c r="J20" s="20"/>
      <c r="K20" s="56"/>
      <c r="L20" s="20"/>
      <c r="M20" s="56"/>
      <c r="N20" s="20"/>
    </row>
    <row r="21" spans="1:14" ht="18" customHeight="1">
      <c r="A21" s="23"/>
      <c r="B21" s="20"/>
      <c r="C21" s="22"/>
      <c r="D21" s="20"/>
      <c r="E21" s="23"/>
      <c r="F21" s="20"/>
      <c r="G21" s="22"/>
      <c r="H21" s="20"/>
      <c r="I21" s="22"/>
      <c r="J21" s="20"/>
      <c r="K21" s="22"/>
      <c r="L21" s="20"/>
      <c r="M21" s="22"/>
      <c r="N21" s="20"/>
    </row>
    <row r="22" spans="1:14" ht="18" customHeight="1">
      <c r="A22" s="25"/>
      <c r="B22" s="20"/>
      <c r="C22" s="25"/>
      <c r="D22" s="20"/>
      <c r="E22" s="25"/>
      <c r="F22" s="20"/>
      <c r="G22" s="25"/>
      <c r="H22" s="20"/>
      <c r="I22" s="25"/>
      <c r="J22" s="20"/>
      <c r="K22" s="25"/>
      <c r="L22" s="20"/>
      <c r="M22" s="25"/>
      <c r="N22" s="20"/>
    </row>
    <row r="23" spans="1:14" ht="18" customHeight="1">
      <c r="A23" s="58"/>
      <c r="B23" s="24"/>
      <c r="C23" s="58"/>
      <c r="D23" s="24"/>
      <c r="E23" s="58"/>
      <c r="F23" s="24"/>
      <c r="G23" s="58"/>
      <c r="H23" s="24"/>
      <c r="I23" s="58"/>
      <c r="J23" s="24"/>
      <c r="K23" s="58"/>
      <c r="L23" s="24"/>
      <c r="M23" s="58"/>
      <c r="N23" s="24"/>
    </row>
    <row r="24" spans="1:14" ht="18" customHeight="1">
      <c r="A24" s="2">
        <f>M15+1</f>
        <v>46370</v>
      </c>
      <c r="B24" s="3"/>
      <c r="C24" s="2">
        <f>A24+1</f>
        <v>46371</v>
      </c>
      <c r="D24" s="3"/>
      <c r="E24" s="2">
        <f>C24+1</f>
        <v>46372</v>
      </c>
      <c r="F24" s="3"/>
      <c r="G24" s="2">
        <f>E24+1</f>
        <v>46373</v>
      </c>
      <c r="H24" s="3"/>
      <c r="I24" s="2">
        <f>G24+1</f>
        <v>46374</v>
      </c>
      <c r="J24" s="3"/>
      <c r="K24" s="4">
        <f>I24+1</f>
        <v>46375</v>
      </c>
      <c r="L24" s="5"/>
      <c r="M24" s="4">
        <f>K24+1</f>
        <v>46376</v>
      </c>
      <c r="N24" s="5"/>
    </row>
    <row r="25" spans="1:14" ht="18" customHeight="1">
      <c r="A25" s="29" t="s">
        <v>194</v>
      </c>
      <c r="B25" s="20"/>
      <c r="C25" s="29" t="s">
        <v>194</v>
      </c>
      <c r="D25" s="20"/>
      <c r="E25" s="29" t="s">
        <v>194</v>
      </c>
      <c r="F25" s="20"/>
      <c r="G25" s="29" t="s">
        <v>194</v>
      </c>
      <c r="H25" s="20"/>
      <c r="I25" s="29" t="s">
        <v>194</v>
      </c>
      <c r="J25" s="20"/>
      <c r="K25" s="29" t="s">
        <v>194</v>
      </c>
      <c r="L25" s="20"/>
      <c r="M25" s="29" t="s">
        <v>194</v>
      </c>
      <c r="N25" s="20"/>
    </row>
    <row r="26" spans="1:14" ht="18" customHeight="1">
      <c r="A26" s="27" t="s">
        <v>210</v>
      </c>
      <c r="B26" s="20"/>
      <c r="C26" s="27" t="s">
        <v>210</v>
      </c>
      <c r="D26" s="20"/>
      <c r="E26" s="27" t="s">
        <v>210</v>
      </c>
      <c r="F26" s="20"/>
      <c r="G26" s="27" t="s">
        <v>210</v>
      </c>
      <c r="H26" s="20"/>
      <c r="I26" s="27" t="s">
        <v>210</v>
      </c>
      <c r="J26" s="20"/>
      <c r="K26" s="26"/>
      <c r="L26" s="20"/>
      <c r="M26" s="26"/>
      <c r="N26" s="20"/>
    </row>
    <row r="27" spans="1:14" ht="18" customHeight="1">
      <c r="A27" s="19" t="s">
        <v>202</v>
      </c>
      <c r="B27" s="20"/>
      <c r="C27" s="19" t="s">
        <v>202</v>
      </c>
      <c r="D27" s="20"/>
      <c r="E27" s="19" t="s">
        <v>202</v>
      </c>
      <c r="F27" s="20"/>
      <c r="G27" s="19" t="s">
        <v>202</v>
      </c>
      <c r="H27" s="20"/>
      <c r="I27" s="19" t="s">
        <v>202</v>
      </c>
      <c r="J27" s="20"/>
      <c r="K27" s="19" t="s">
        <v>202</v>
      </c>
      <c r="L27" s="20"/>
      <c r="M27" s="19" t="s">
        <v>202</v>
      </c>
      <c r="N27" s="20"/>
    </row>
    <row r="28" spans="1:14" ht="18" customHeight="1">
      <c r="A28" s="21" t="s">
        <v>189</v>
      </c>
      <c r="B28" s="20"/>
      <c r="C28" s="21" t="s">
        <v>189</v>
      </c>
      <c r="D28" s="20"/>
      <c r="E28" s="21" t="s">
        <v>189</v>
      </c>
      <c r="F28" s="20"/>
      <c r="G28" s="21" t="s">
        <v>189</v>
      </c>
      <c r="H28" s="20"/>
      <c r="I28" s="21" t="s">
        <v>189</v>
      </c>
      <c r="J28" s="20"/>
      <c r="K28" s="21"/>
      <c r="L28" s="20"/>
      <c r="M28" s="21"/>
      <c r="N28" s="20"/>
    </row>
    <row r="29" spans="1:14" ht="18" customHeight="1">
      <c r="A29" s="56"/>
      <c r="B29" s="20"/>
      <c r="C29" s="56"/>
      <c r="D29" s="20"/>
      <c r="E29" s="56"/>
      <c r="F29" s="20"/>
      <c r="G29" s="56"/>
      <c r="H29" s="20"/>
      <c r="I29" s="56"/>
      <c r="J29" s="20"/>
      <c r="K29" s="56"/>
      <c r="L29" s="20"/>
      <c r="M29" s="56"/>
      <c r="N29" s="20"/>
    </row>
    <row r="30" spans="1:14" ht="18" customHeight="1">
      <c r="A30" s="23"/>
      <c r="B30" s="20"/>
      <c r="C30" s="22"/>
      <c r="D30" s="20"/>
      <c r="E30" s="23"/>
      <c r="F30" s="20"/>
      <c r="G30" s="22"/>
      <c r="H30" s="20"/>
      <c r="I30" s="22"/>
      <c r="J30" s="20"/>
      <c r="K30" s="22"/>
      <c r="L30" s="20"/>
      <c r="M30" s="22"/>
      <c r="N30" s="20"/>
    </row>
    <row r="31" spans="1:14" ht="18" customHeight="1">
      <c r="A31" s="25"/>
      <c r="B31" s="20"/>
      <c r="C31" s="25"/>
      <c r="D31" s="20"/>
      <c r="E31" s="25"/>
      <c r="F31" s="20"/>
      <c r="G31" s="25"/>
      <c r="H31" s="20"/>
      <c r="I31" s="25"/>
      <c r="J31" s="20"/>
      <c r="K31" s="25"/>
      <c r="L31" s="20"/>
      <c r="M31" s="25"/>
      <c r="N31" s="20"/>
    </row>
    <row r="32" spans="1:14" ht="18" customHeight="1">
      <c r="A32" s="58"/>
      <c r="B32" s="24"/>
      <c r="C32" s="58"/>
      <c r="D32" s="24"/>
      <c r="E32" s="58"/>
      <c r="F32" s="24"/>
      <c r="G32" s="58"/>
      <c r="H32" s="24"/>
      <c r="I32" s="58"/>
      <c r="J32" s="24"/>
      <c r="K32" s="58"/>
      <c r="L32" s="24"/>
      <c r="M32" s="58"/>
      <c r="N32" s="24"/>
    </row>
    <row r="33" spans="1:14" ht="18" customHeight="1">
      <c r="A33" s="2">
        <f>M24+1</f>
        <v>46377</v>
      </c>
      <c r="B33" s="3"/>
      <c r="C33" s="2">
        <f>A33+1</f>
        <v>46378</v>
      </c>
      <c r="D33" s="3"/>
      <c r="E33" s="2">
        <f>C33+1</f>
        <v>46379</v>
      </c>
      <c r="F33" s="3"/>
      <c r="G33" s="2">
        <f>E33+1</f>
        <v>46380</v>
      </c>
      <c r="H33" s="3"/>
      <c r="I33" s="2">
        <f>G33+1</f>
        <v>46381</v>
      </c>
      <c r="J33" s="3" t="s">
        <v>214</v>
      </c>
      <c r="K33" s="4">
        <f>I33+1</f>
        <v>46382</v>
      </c>
      <c r="L33" s="5"/>
      <c r="M33" s="4">
        <f>K33+1</f>
        <v>46383</v>
      </c>
      <c r="N33" s="5"/>
    </row>
    <row r="34" spans="1:14" ht="18" customHeight="1">
      <c r="A34" s="29" t="s">
        <v>43</v>
      </c>
      <c r="B34" s="20"/>
      <c r="C34" s="29" t="s">
        <v>43</v>
      </c>
      <c r="D34" s="20"/>
      <c r="E34" s="29" t="s">
        <v>43</v>
      </c>
      <c r="F34" s="20"/>
      <c r="G34" s="29" t="s">
        <v>43</v>
      </c>
      <c r="H34" s="20"/>
      <c r="I34" s="29" t="s">
        <v>43</v>
      </c>
      <c r="J34" s="20"/>
      <c r="K34" s="29" t="s">
        <v>43</v>
      </c>
      <c r="L34" s="20"/>
      <c r="M34" s="29" t="s">
        <v>43</v>
      </c>
      <c r="N34" s="20"/>
    </row>
    <row r="35" spans="1:14" ht="18" customHeight="1">
      <c r="A35" s="27" t="s">
        <v>201</v>
      </c>
      <c r="B35" s="28"/>
      <c r="C35" s="27" t="s">
        <v>201</v>
      </c>
      <c r="D35" s="28"/>
      <c r="E35" s="27" t="s">
        <v>201</v>
      </c>
      <c r="F35" s="28"/>
      <c r="G35" s="27" t="s">
        <v>201</v>
      </c>
      <c r="H35" s="28"/>
      <c r="I35" s="27"/>
      <c r="J35" s="28"/>
      <c r="K35" s="26"/>
      <c r="L35" s="28"/>
      <c r="M35" s="26"/>
      <c r="N35" s="28"/>
    </row>
    <row r="36" spans="1:14" ht="18" customHeight="1">
      <c r="A36" s="19" t="s">
        <v>206</v>
      </c>
      <c r="B36" s="20"/>
      <c r="C36" s="19" t="s">
        <v>206</v>
      </c>
      <c r="D36" s="20"/>
      <c r="E36" s="19" t="s">
        <v>206</v>
      </c>
      <c r="F36" s="20"/>
      <c r="G36" s="19" t="s">
        <v>206</v>
      </c>
      <c r="H36" s="20"/>
      <c r="I36" s="19" t="s">
        <v>206</v>
      </c>
      <c r="J36" s="20"/>
      <c r="K36" s="19" t="s">
        <v>206</v>
      </c>
      <c r="L36" s="20"/>
      <c r="M36" s="19" t="s">
        <v>206</v>
      </c>
      <c r="N36" s="20"/>
    </row>
    <row r="37" spans="1:14" ht="18" customHeight="1">
      <c r="A37" s="21" t="s">
        <v>202</v>
      </c>
      <c r="B37" s="20"/>
      <c r="C37" s="21" t="s">
        <v>202</v>
      </c>
      <c r="D37" s="20"/>
      <c r="E37" s="21" t="s">
        <v>202</v>
      </c>
      <c r="F37" s="20"/>
      <c r="G37" s="21" t="s">
        <v>202</v>
      </c>
      <c r="H37" s="20"/>
      <c r="I37" s="21"/>
      <c r="J37" s="20"/>
      <c r="K37" s="30"/>
      <c r="L37" s="20"/>
      <c r="M37" s="30"/>
      <c r="N37" s="20"/>
    </row>
    <row r="38" spans="1:14" ht="18" customHeight="1">
      <c r="A38" s="56"/>
      <c r="B38" s="20"/>
      <c r="C38" s="56"/>
      <c r="D38" s="20"/>
      <c r="E38" s="56"/>
      <c r="F38" s="20"/>
      <c r="G38" s="56"/>
      <c r="H38" s="20"/>
      <c r="I38" s="56"/>
      <c r="J38" s="20"/>
      <c r="K38" s="56"/>
      <c r="L38" s="20"/>
      <c r="M38" s="56"/>
      <c r="N38" s="20"/>
    </row>
    <row r="39" spans="1:14" ht="18" customHeight="1">
      <c r="A39" s="23"/>
      <c r="B39" s="20"/>
      <c r="C39" s="22"/>
      <c r="D39" s="20"/>
      <c r="E39" s="23"/>
      <c r="F39" s="20"/>
      <c r="G39" s="22"/>
      <c r="H39" s="20"/>
      <c r="I39" s="22"/>
      <c r="J39" s="20"/>
      <c r="K39" s="22"/>
      <c r="L39" s="20"/>
      <c r="M39" s="22"/>
      <c r="N39" s="20"/>
    </row>
    <row r="40" spans="1:14" ht="18" customHeight="1">
      <c r="A40" s="25"/>
      <c r="B40" s="20"/>
      <c r="C40" s="25"/>
      <c r="D40" s="20"/>
      <c r="E40" s="25"/>
      <c r="F40" s="20"/>
      <c r="G40" s="25"/>
      <c r="H40" s="20"/>
      <c r="I40" s="25"/>
      <c r="J40" s="20"/>
      <c r="K40" s="25"/>
      <c r="L40" s="20"/>
      <c r="M40" s="25"/>
      <c r="N40" s="20"/>
    </row>
    <row r="41" spans="1:14" ht="18" customHeight="1">
      <c r="A41" s="58"/>
      <c r="B41" s="24"/>
      <c r="C41" s="58"/>
      <c r="D41" s="24"/>
      <c r="E41" s="58"/>
      <c r="F41" s="24"/>
      <c r="G41" s="58"/>
      <c r="H41" s="24"/>
      <c r="I41" s="58"/>
      <c r="J41" s="24"/>
      <c r="K41" s="58"/>
      <c r="L41" s="24"/>
      <c r="M41" s="58"/>
      <c r="N41" s="24"/>
    </row>
    <row r="42" spans="1:14" ht="18" customHeight="1">
      <c r="A42" s="2">
        <f>IF(M33="","",IF(MONTH(M33+1)&lt;&gt;MONTH($A$1),"",M33+1))</f>
        <v>46384</v>
      </c>
      <c r="B42" s="3"/>
      <c r="C42" s="2">
        <f>IF(A42="","",IF(MONTH(A42+1)&lt;&gt;MONTH($A$1),"",A42+1))</f>
        <v>46385</v>
      </c>
      <c r="D42" s="3"/>
      <c r="E42" s="2">
        <v>30</v>
      </c>
      <c r="F42" s="3"/>
      <c r="G42" s="2">
        <v>31</v>
      </c>
      <c r="H42" s="3" t="s">
        <v>215</v>
      </c>
      <c r="I42" s="2">
        <v>1</v>
      </c>
      <c r="J42" s="3" t="s">
        <v>215</v>
      </c>
      <c r="K42" s="4">
        <v>2</v>
      </c>
      <c r="L42" s="5"/>
      <c r="M42" s="4">
        <v>3</v>
      </c>
      <c r="N42" s="5"/>
    </row>
    <row r="43" spans="1:14" ht="18" customHeight="1">
      <c r="A43" s="29" t="s">
        <v>175</v>
      </c>
      <c r="B43" s="20"/>
      <c r="C43" s="29" t="s">
        <v>175</v>
      </c>
      <c r="D43" s="20"/>
      <c r="E43" s="29" t="s">
        <v>175</v>
      </c>
      <c r="F43" s="20"/>
      <c r="G43" s="29" t="s">
        <v>175</v>
      </c>
      <c r="H43" s="20"/>
      <c r="I43" s="29" t="s">
        <v>175</v>
      </c>
      <c r="J43" s="20"/>
      <c r="K43" s="29" t="s">
        <v>175</v>
      </c>
      <c r="L43" s="20"/>
      <c r="M43" s="29" t="s">
        <v>175</v>
      </c>
      <c r="N43" s="20"/>
    </row>
    <row r="44" spans="1:14" ht="18" customHeight="1">
      <c r="A44" s="27" t="s">
        <v>194</v>
      </c>
      <c r="B44" s="20"/>
      <c r="C44" s="27" t="s">
        <v>194</v>
      </c>
      <c r="D44" s="20"/>
      <c r="E44" s="27" t="s">
        <v>194</v>
      </c>
      <c r="F44" s="20"/>
      <c r="G44" s="27" t="s">
        <v>194</v>
      </c>
      <c r="H44" s="20"/>
      <c r="I44" s="27"/>
      <c r="J44" s="20"/>
      <c r="K44" s="26"/>
      <c r="L44" s="20"/>
      <c r="M44" s="26"/>
      <c r="N44" s="20"/>
    </row>
    <row r="45" spans="1:14" ht="18" customHeight="1">
      <c r="A45" s="19" t="s">
        <v>176</v>
      </c>
      <c r="B45" s="20"/>
      <c r="C45" s="19" t="s">
        <v>176</v>
      </c>
      <c r="D45" s="20"/>
      <c r="E45" s="19" t="s">
        <v>176</v>
      </c>
      <c r="F45" s="20"/>
      <c r="G45" s="19" t="s">
        <v>176</v>
      </c>
      <c r="H45" s="20"/>
      <c r="I45" s="19" t="s">
        <v>176</v>
      </c>
      <c r="J45" s="20"/>
      <c r="K45" s="19" t="s">
        <v>176</v>
      </c>
      <c r="L45" s="20"/>
      <c r="M45" s="19" t="s">
        <v>176</v>
      </c>
      <c r="N45" s="20"/>
    </row>
    <row r="46" spans="1:14" ht="18" customHeight="1">
      <c r="A46" s="21" t="s">
        <v>206</v>
      </c>
      <c r="B46" s="20"/>
      <c r="C46" s="21" t="s">
        <v>206</v>
      </c>
      <c r="D46" s="20"/>
      <c r="E46" s="21" t="s">
        <v>206</v>
      </c>
      <c r="F46" s="20"/>
      <c r="G46" s="21" t="s">
        <v>206</v>
      </c>
      <c r="H46" s="20"/>
      <c r="I46" s="21"/>
      <c r="J46" s="20"/>
      <c r="K46" s="30"/>
      <c r="L46" s="20"/>
      <c r="M46" s="30"/>
      <c r="N46" s="20"/>
    </row>
    <row r="47" spans="1:14" ht="18" customHeight="1">
      <c r="A47" s="56"/>
      <c r="B47" s="20"/>
      <c r="C47" s="56"/>
      <c r="D47" s="20"/>
      <c r="E47" s="56"/>
      <c r="F47" s="20"/>
      <c r="G47" s="56"/>
      <c r="H47" s="20"/>
      <c r="I47" s="56"/>
      <c r="J47" s="20"/>
      <c r="K47" s="57"/>
      <c r="L47" s="20"/>
      <c r="M47" s="57"/>
      <c r="N47" s="20"/>
    </row>
    <row r="48" spans="1:14" ht="18" customHeight="1">
      <c r="A48" s="23"/>
      <c r="B48" s="20"/>
      <c r="C48" s="22"/>
      <c r="D48" s="20"/>
      <c r="E48" s="23"/>
      <c r="F48" s="20"/>
      <c r="G48" s="22"/>
      <c r="H48" s="20"/>
      <c r="I48" s="22"/>
      <c r="J48" s="20"/>
      <c r="K48" s="22"/>
      <c r="L48" s="20"/>
      <c r="M48" s="22"/>
      <c r="N48" s="20"/>
    </row>
    <row r="49" spans="1:14" ht="18" customHeight="1">
      <c r="A49" s="25"/>
      <c r="B49" s="20"/>
      <c r="C49" s="25"/>
      <c r="D49" s="20"/>
      <c r="E49" s="25"/>
      <c r="F49" s="20"/>
      <c r="G49" s="25"/>
      <c r="H49" s="20"/>
      <c r="I49" s="25"/>
      <c r="J49" s="20"/>
      <c r="K49" s="25"/>
      <c r="L49" s="20"/>
      <c r="M49" s="25"/>
      <c r="N49" s="20"/>
    </row>
    <row r="50" spans="1:14" ht="32.450000000000003" customHeight="1">
      <c r="A50" s="58"/>
      <c r="B50" s="24"/>
      <c r="C50" s="58"/>
      <c r="D50" s="24"/>
      <c r="E50" s="58"/>
      <c r="F50" s="24"/>
      <c r="G50" s="58"/>
      <c r="H50" s="24"/>
      <c r="I50" s="54"/>
      <c r="J50" s="24"/>
      <c r="K50" s="58"/>
      <c r="L50" s="24"/>
      <c r="M50" s="58"/>
      <c r="N50" s="24"/>
    </row>
    <row r="51" spans="1:14" ht="18" customHeight="1">
      <c r="A51" s="2"/>
      <c r="B51" s="3"/>
      <c r="C51" s="2"/>
      <c r="D51" s="3"/>
      <c r="E51" s="46" t="s">
        <v>22</v>
      </c>
      <c r="F51" s="47"/>
      <c r="G51" s="48"/>
      <c r="H51" s="47"/>
      <c r="I51" s="47"/>
      <c r="J51" s="47"/>
      <c r="K51" s="47"/>
      <c r="L51" s="47"/>
      <c r="M51" s="47"/>
      <c r="N51" s="49"/>
    </row>
    <row r="52" spans="1:14" ht="18" customHeight="1">
      <c r="A52" s="29"/>
      <c r="B52" s="20"/>
      <c r="C52" s="44"/>
      <c r="D52" s="20"/>
      <c r="E52" s="45"/>
      <c r="F52" s="37"/>
      <c r="G52" s="37"/>
      <c r="H52" s="37"/>
      <c r="I52" s="37"/>
      <c r="J52" s="37"/>
      <c r="K52" s="37"/>
      <c r="L52" s="37"/>
      <c r="M52" s="37"/>
      <c r="N52" s="20"/>
    </row>
    <row r="53" spans="1:14" ht="18" customHeight="1">
      <c r="A53" s="27"/>
      <c r="B53" s="20"/>
      <c r="C53" s="26"/>
      <c r="D53" s="20"/>
      <c r="E53" s="45"/>
      <c r="F53" s="37"/>
      <c r="G53" s="37"/>
      <c r="H53" s="37"/>
      <c r="I53" s="37"/>
      <c r="J53" s="37"/>
      <c r="K53" s="37"/>
      <c r="L53" s="37"/>
      <c r="M53" s="37"/>
      <c r="N53" s="20"/>
    </row>
    <row r="54" spans="1:14" ht="18" customHeight="1">
      <c r="A54" s="19"/>
      <c r="B54" s="20"/>
      <c r="C54" s="35"/>
      <c r="D54" s="20"/>
      <c r="E54" s="45"/>
      <c r="F54" s="37"/>
      <c r="G54" s="37"/>
      <c r="H54" s="37"/>
      <c r="I54" s="37"/>
      <c r="J54" s="37"/>
      <c r="K54" s="37"/>
      <c r="L54" s="37"/>
      <c r="M54" s="37"/>
      <c r="N54" s="20"/>
    </row>
    <row r="55" spans="1:14" ht="18" customHeight="1">
      <c r="A55" s="21"/>
      <c r="B55" s="20"/>
      <c r="C55" s="30"/>
      <c r="D55" s="20"/>
      <c r="E55" s="6"/>
      <c r="F55" s="7"/>
      <c r="G55" s="7"/>
      <c r="H55" s="7"/>
      <c r="I55" s="7"/>
      <c r="J55" s="7"/>
      <c r="K55" s="7"/>
      <c r="L55" s="7"/>
      <c r="M55" s="7"/>
      <c r="N55" s="8"/>
    </row>
    <row r="56" spans="1:14" ht="18" customHeight="1">
      <c r="A56" s="56"/>
      <c r="B56" s="20"/>
      <c r="C56" s="57"/>
      <c r="D56" s="20"/>
      <c r="E56" s="6"/>
      <c r="F56" s="7"/>
      <c r="G56" s="7"/>
      <c r="H56" s="7"/>
      <c r="I56" s="7"/>
      <c r="J56" s="7"/>
      <c r="K56" s="7"/>
      <c r="L56" s="7"/>
      <c r="M56" s="7"/>
      <c r="N56" s="8"/>
    </row>
    <row r="57" spans="1:14" ht="18" customHeight="1">
      <c r="A57" s="23"/>
      <c r="B57" s="20"/>
      <c r="C57" s="22"/>
      <c r="D57" s="20"/>
      <c r="E57" s="6"/>
      <c r="F57" s="7"/>
      <c r="G57" s="7"/>
      <c r="H57" s="7"/>
      <c r="I57" s="7"/>
      <c r="J57" s="7"/>
      <c r="K57" s="7"/>
      <c r="L57" s="7"/>
      <c r="M57" s="7"/>
      <c r="N57" s="8"/>
    </row>
    <row r="58" spans="1:14" ht="18" customHeight="1">
      <c r="A58" s="25"/>
      <c r="B58" s="20"/>
      <c r="C58" s="31"/>
      <c r="D58" s="24"/>
      <c r="E58" s="32" t="s">
        <v>23</v>
      </c>
      <c r="F58" s="33"/>
      <c r="G58" s="33"/>
      <c r="H58" s="33"/>
      <c r="I58" s="34" t="str">
        <f>HYPERLINK("https://www.vertex42.com/calendars/academic-calendar.html","https://www.vertex42.com/calendars/academic-calendar.html")</f>
        <v>https://www.vertex42.com/calendars/academic-calendar.html</v>
      </c>
      <c r="J58" s="33"/>
      <c r="K58" s="33"/>
      <c r="L58" s="33"/>
      <c r="M58" s="33"/>
      <c r="N58" s="24"/>
    </row>
  </sheetData>
  <mergeCells count="319">
    <mergeCell ref="M46:N46"/>
    <mergeCell ref="M47:N47"/>
    <mergeCell ref="K47:L47"/>
    <mergeCell ref="I47:J47"/>
    <mergeCell ref="M17:N17"/>
    <mergeCell ref="M19:N19"/>
    <mergeCell ref="M20:N20"/>
    <mergeCell ref="I20:J20"/>
    <mergeCell ref="I39:J39"/>
    <mergeCell ref="I38:J38"/>
    <mergeCell ref="I40:J40"/>
    <mergeCell ref="I41:J41"/>
    <mergeCell ref="K39:L39"/>
    <mergeCell ref="K38:L38"/>
    <mergeCell ref="K19:L19"/>
    <mergeCell ref="K20:L20"/>
    <mergeCell ref="K41:L41"/>
    <mergeCell ref="M41:N41"/>
    <mergeCell ref="K40:L40"/>
    <mergeCell ref="M40:N40"/>
    <mergeCell ref="M39:N39"/>
    <mergeCell ref="M38:N38"/>
    <mergeCell ref="M25:N25"/>
    <mergeCell ref="M26:N26"/>
    <mergeCell ref="A17:B17"/>
    <mergeCell ref="E17:F17"/>
    <mergeCell ref="E16:F16"/>
    <mergeCell ref="C17:D17"/>
    <mergeCell ref="C18:D18"/>
    <mergeCell ref="C19:D19"/>
    <mergeCell ref="A19:B19"/>
    <mergeCell ref="A18:B18"/>
    <mergeCell ref="C16:D16"/>
    <mergeCell ref="E19:F19"/>
    <mergeCell ref="E18:F18"/>
    <mergeCell ref="A1:B1"/>
    <mergeCell ref="A5:B5"/>
    <mergeCell ref="A4:N4"/>
    <mergeCell ref="M5:N5"/>
    <mergeCell ref="M3:N3"/>
    <mergeCell ref="K3:L3"/>
    <mergeCell ref="K1:N1"/>
    <mergeCell ref="E3:F3"/>
    <mergeCell ref="E5:F5"/>
    <mergeCell ref="C3:D3"/>
    <mergeCell ref="C5:D5"/>
    <mergeCell ref="K5:L5"/>
    <mergeCell ref="G5:H5"/>
    <mergeCell ref="I5:J5"/>
    <mergeCell ref="G7:H7"/>
    <mergeCell ref="G3:H3"/>
    <mergeCell ref="I3:J3"/>
    <mergeCell ref="A2:N2"/>
    <mergeCell ref="A3:B3"/>
    <mergeCell ref="E58:H58"/>
    <mergeCell ref="I58:N58"/>
    <mergeCell ref="C58:D58"/>
    <mergeCell ref="A58:B58"/>
    <mergeCell ref="C56:D56"/>
    <mergeCell ref="M45:N45"/>
    <mergeCell ref="M44:N44"/>
    <mergeCell ref="M43:N43"/>
    <mergeCell ref="K46:L46"/>
    <mergeCell ref="I43:J43"/>
    <mergeCell ref="K43:L43"/>
    <mergeCell ref="I44:J44"/>
    <mergeCell ref="K44:L44"/>
    <mergeCell ref="K45:L45"/>
    <mergeCell ref="I45:J45"/>
    <mergeCell ref="C54:D54"/>
    <mergeCell ref="A16:B16"/>
    <mergeCell ref="E52:N52"/>
    <mergeCell ref="G51:N51"/>
    <mergeCell ref="A54:B54"/>
    <mergeCell ref="A50:B50"/>
    <mergeCell ref="C50:D50"/>
    <mergeCell ref="A55:B55"/>
    <mergeCell ref="C55:D55"/>
    <mergeCell ref="A57:B57"/>
    <mergeCell ref="A56:B56"/>
    <mergeCell ref="A52:B52"/>
    <mergeCell ref="A53:B53"/>
    <mergeCell ref="C57:D57"/>
    <mergeCell ref="E54:N54"/>
    <mergeCell ref="E53:N53"/>
    <mergeCell ref="M48:N48"/>
    <mergeCell ref="M49:N49"/>
    <mergeCell ref="M50:N50"/>
    <mergeCell ref="C52:D52"/>
    <mergeCell ref="C53:D53"/>
    <mergeCell ref="A47:B47"/>
    <mergeCell ref="A46:B46"/>
    <mergeCell ref="E49:F49"/>
    <mergeCell ref="G49:H49"/>
    <mergeCell ref="C49:D49"/>
    <mergeCell ref="C46:D46"/>
    <mergeCell ref="I46:J46"/>
    <mergeCell ref="E51:F51"/>
    <mergeCell ref="E50:F50"/>
    <mergeCell ref="A48:B48"/>
    <mergeCell ref="A49:B49"/>
    <mergeCell ref="K50:L50"/>
    <mergeCell ref="G50:H50"/>
    <mergeCell ref="I50:J50"/>
    <mergeCell ref="K49:L49"/>
    <mergeCell ref="K48:L48"/>
    <mergeCell ref="I49:J49"/>
    <mergeCell ref="I48:J48"/>
    <mergeCell ref="C22:D22"/>
    <mergeCell ref="C23:D23"/>
    <mergeCell ref="C35:D35"/>
    <mergeCell ref="C36:D36"/>
    <mergeCell ref="C34:D34"/>
    <mergeCell ref="E22:F22"/>
    <mergeCell ref="E23:F23"/>
    <mergeCell ref="E30:F30"/>
    <mergeCell ref="E29:F29"/>
    <mergeCell ref="E25:F25"/>
    <mergeCell ref="E26:F26"/>
    <mergeCell ref="C27:D27"/>
    <mergeCell ref="C25:D25"/>
    <mergeCell ref="C28:D28"/>
    <mergeCell ref="C29:D29"/>
    <mergeCell ref="I35:J35"/>
    <mergeCell ref="G35:H35"/>
    <mergeCell ref="E36:F36"/>
    <mergeCell ref="E37:F37"/>
    <mergeCell ref="E35:F35"/>
    <mergeCell ref="C26:D26"/>
    <mergeCell ref="A12:B12"/>
    <mergeCell ref="A11:B11"/>
    <mergeCell ref="C11:D11"/>
    <mergeCell ref="A7:B7"/>
    <mergeCell ref="E14:F14"/>
    <mergeCell ref="E13:F13"/>
    <mergeCell ref="C13:D13"/>
    <mergeCell ref="A13:B13"/>
    <mergeCell ref="A14:B14"/>
    <mergeCell ref="C14:D14"/>
    <mergeCell ref="E11:F11"/>
    <mergeCell ref="E9:F9"/>
    <mergeCell ref="C10:D10"/>
    <mergeCell ref="C9:D9"/>
    <mergeCell ref="C8:D8"/>
    <mergeCell ref="C7:D7"/>
    <mergeCell ref="C12:D12"/>
    <mergeCell ref="A8:B8"/>
    <mergeCell ref="A9:B9"/>
    <mergeCell ref="A10:B10"/>
    <mergeCell ref="C20:D20"/>
    <mergeCell ref="C21:D21"/>
    <mergeCell ref="E21:F21"/>
    <mergeCell ref="E20:F20"/>
    <mergeCell ref="G44:H44"/>
    <mergeCell ref="G45:H45"/>
    <mergeCell ref="G46:H46"/>
    <mergeCell ref="G48:H48"/>
    <mergeCell ref="G47:H47"/>
    <mergeCell ref="G39:H39"/>
    <mergeCell ref="G40:H40"/>
    <mergeCell ref="G41:H41"/>
    <mergeCell ref="G38:H38"/>
    <mergeCell ref="E48:F48"/>
    <mergeCell ref="C48:D48"/>
    <mergeCell ref="C47:D47"/>
    <mergeCell ref="E47:F47"/>
    <mergeCell ref="E46:F46"/>
    <mergeCell ref="E43:F43"/>
    <mergeCell ref="E39:F39"/>
    <mergeCell ref="E40:F40"/>
    <mergeCell ref="E38:F38"/>
    <mergeCell ref="C37:D37"/>
    <mergeCell ref="C38:D38"/>
    <mergeCell ref="A45:B45"/>
    <mergeCell ref="A30:B30"/>
    <mergeCell ref="A41:B41"/>
    <mergeCell ref="E44:F44"/>
    <mergeCell ref="C44:D44"/>
    <mergeCell ref="C40:D40"/>
    <mergeCell ref="C39:D39"/>
    <mergeCell ref="C41:D41"/>
    <mergeCell ref="E41:F41"/>
    <mergeCell ref="E45:F45"/>
    <mergeCell ref="C45:D45"/>
    <mergeCell ref="C43:D43"/>
    <mergeCell ref="C30:D30"/>
    <mergeCell ref="C32:D32"/>
    <mergeCell ref="C31:D31"/>
    <mergeCell ref="A43:B43"/>
    <mergeCell ref="A44:B44"/>
    <mergeCell ref="A31:B31"/>
    <mergeCell ref="A32:B32"/>
    <mergeCell ref="A37:B37"/>
    <mergeCell ref="A40:B40"/>
    <mergeCell ref="A38:B38"/>
    <mergeCell ref="A39:B39"/>
    <mergeCell ref="A36:B36"/>
    <mergeCell ref="A21:B21"/>
    <mergeCell ref="A20:B20"/>
    <mergeCell ref="A22:B22"/>
    <mergeCell ref="A27:B27"/>
    <mergeCell ref="A25:B25"/>
    <mergeCell ref="A23:B23"/>
    <mergeCell ref="A26:B26"/>
    <mergeCell ref="A28:B28"/>
    <mergeCell ref="A29:B29"/>
    <mergeCell ref="A34:B34"/>
    <mergeCell ref="A35:B35"/>
    <mergeCell ref="G43:H43"/>
    <mergeCell ref="M13:N13"/>
    <mergeCell ref="I8:J8"/>
    <mergeCell ref="G8:H8"/>
    <mergeCell ref="I7:J7"/>
    <mergeCell ref="E7:F7"/>
    <mergeCell ref="E8:F8"/>
    <mergeCell ref="E10:F10"/>
    <mergeCell ref="I10:J10"/>
    <mergeCell ref="K11:L11"/>
    <mergeCell ref="I11:J11"/>
    <mergeCell ref="E12:F12"/>
    <mergeCell ref="M11:N11"/>
    <mergeCell ref="M12:N12"/>
    <mergeCell ref="K9:L9"/>
    <mergeCell ref="K8:L8"/>
    <mergeCell ref="M8:N8"/>
    <mergeCell ref="M9:N9"/>
    <mergeCell ref="K10:L10"/>
    <mergeCell ref="M10:N10"/>
    <mergeCell ref="M7:N7"/>
    <mergeCell ref="K7:L7"/>
    <mergeCell ref="M14:N14"/>
    <mergeCell ref="I18:J18"/>
    <mergeCell ref="I19:J19"/>
    <mergeCell ref="G18:H18"/>
    <mergeCell ref="G17:H17"/>
    <mergeCell ref="G23:H23"/>
    <mergeCell ref="I23:J23"/>
    <mergeCell ref="G19:H19"/>
    <mergeCell ref="G20:H20"/>
    <mergeCell ref="M18:N18"/>
    <mergeCell ref="K18:L18"/>
    <mergeCell ref="K21:L21"/>
    <mergeCell ref="K22:L22"/>
    <mergeCell ref="K23:L23"/>
    <mergeCell ref="M21:N21"/>
    <mergeCell ref="G21:H21"/>
    <mergeCell ref="I21:J21"/>
    <mergeCell ref="G22:H22"/>
    <mergeCell ref="I22:J22"/>
    <mergeCell ref="M22:N22"/>
    <mergeCell ref="M23:N23"/>
    <mergeCell ref="K17:L17"/>
    <mergeCell ref="I17:J17"/>
    <mergeCell ref="M16:N16"/>
    <mergeCell ref="M31:N31"/>
    <mergeCell ref="E31:F31"/>
    <mergeCell ref="G34:H34"/>
    <mergeCell ref="I34:J34"/>
    <mergeCell ref="M30:N30"/>
    <mergeCell ref="M32:N32"/>
    <mergeCell ref="M27:N27"/>
    <mergeCell ref="M28:N28"/>
    <mergeCell ref="M29:N29"/>
    <mergeCell ref="E27:F27"/>
    <mergeCell ref="E28:F28"/>
    <mergeCell ref="E32:F32"/>
    <mergeCell ref="G32:H32"/>
    <mergeCell ref="K32:L32"/>
    <mergeCell ref="E34:F34"/>
    <mergeCell ref="I32:J32"/>
    <mergeCell ref="K35:L35"/>
    <mergeCell ref="K34:L34"/>
    <mergeCell ref="M35:N35"/>
    <mergeCell ref="M34:N34"/>
    <mergeCell ref="I37:J37"/>
    <mergeCell ref="K37:L37"/>
    <mergeCell ref="M37:N37"/>
    <mergeCell ref="M36:N36"/>
    <mergeCell ref="G36:H36"/>
    <mergeCell ref="G37:H37"/>
    <mergeCell ref="I36:J36"/>
    <mergeCell ref="K36:L36"/>
    <mergeCell ref="K25:L25"/>
    <mergeCell ref="I25:J25"/>
    <mergeCell ref="G31:H31"/>
    <mergeCell ref="I31:J31"/>
    <mergeCell ref="G25:H25"/>
    <mergeCell ref="K30:L30"/>
    <mergeCell ref="K31:L31"/>
    <mergeCell ref="K29:L29"/>
    <mergeCell ref="K28:L28"/>
    <mergeCell ref="G28:H28"/>
    <mergeCell ref="G29:H29"/>
    <mergeCell ref="K26:L26"/>
    <mergeCell ref="K27:L27"/>
    <mergeCell ref="G26:H26"/>
    <mergeCell ref="G27:H27"/>
    <mergeCell ref="I26:J26"/>
    <mergeCell ref="I27:J27"/>
    <mergeCell ref="I28:J28"/>
    <mergeCell ref="I29:J29"/>
    <mergeCell ref="I30:J30"/>
    <mergeCell ref="G30:H30"/>
    <mergeCell ref="I16:J16"/>
    <mergeCell ref="G16:H16"/>
    <mergeCell ref="I12:J12"/>
    <mergeCell ref="G12:H12"/>
    <mergeCell ref="G11:H11"/>
    <mergeCell ref="K12:L12"/>
    <mergeCell ref="K16:L16"/>
    <mergeCell ref="I9:J9"/>
    <mergeCell ref="G10:H10"/>
    <mergeCell ref="G9:H9"/>
    <mergeCell ref="G14:H14"/>
    <mergeCell ref="G13:H13"/>
    <mergeCell ref="K14:L14"/>
    <mergeCell ref="I14:J14"/>
    <mergeCell ref="K13:L13"/>
    <mergeCell ref="I13:J13"/>
  </mergeCells>
  <printOptions horizontalCentered="1" gridLines="1"/>
  <pageMargins left="0.5" right="0.5" top="0.25" bottom="0.25" header="0" footer="0"/>
  <pageSetup scale="80" pageOrder="overThenDown" orientation="portrait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  <pageSetUpPr fitToPage="1"/>
  </sheetPr>
  <dimension ref="A1:N58"/>
  <sheetViews>
    <sheetView showGridLines="0" workbookViewId="0">
      <selection activeCell="M16" sqref="M16:N16"/>
    </sheetView>
  </sheetViews>
  <sheetFormatPr defaultColWidth="12.5703125" defaultRowHeight="12.75" customHeight="1"/>
  <cols>
    <col min="1" max="1" width="3.85546875" customWidth="1"/>
    <col min="2" max="2" width="13.42578125" customWidth="1"/>
    <col min="3" max="3" width="3.85546875" customWidth="1"/>
    <col min="4" max="4" width="13.42578125" customWidth="1"/>
    <col min="5" max="5" width="3.85546875" customWidth="1"/>
    <col min="6" max="6" width="13.42578125" customWidth="1"/>
    <col min="7" max="7" width="3.85546875" customWidth="1"/>
    <col min="8" max="8" width="13.42578125" customWidth="1"/>
    <col min="9" max="9" width="3.85546875" customWidth="1"/>
    <col min="10" max="10" width="15.42578125" customWidth="1"/>
    <col min="11" max="11" width="3.85546875" customWidth="1"/>
    <col min="12" max="12" width="13.42578125" customWidth="1"/>
    <col min="13" max="13" width="3.85546875" customWidth="1"/>
    <col min="14" max="14" width="13.42578125" customWidth="1"/>
  </cols>
  <sheetData>
    <row r="1" spans="1:14" ht="18" customHeight="1">
      <c r="A1" s="36">
        <f>EDATE('©'!A17,42)</f>
        <v>46388</v>
      </c>
      <c r="B1" s="37"/>
      <c r="C1" s="1"/>
      <c r="D1" s="1"/>
      <c r="E1" s="1"/>
      <c r="F1" s="1"/>
      <c r="G1" s="1"/>
      <c r="H1" s="1"/>
      <c r="I1" s="1"/>
      <c r="J1" s="1"/>
      <c r="K1" s="38" t="s">
        <v>0</v>
      </c>
      <c r="L1" s="37"/>
      <c r="M1" s="37"/>
      <c r="N1" s="37"/>
    </row>
    <row r="2" spans="1:14" ht="18" customHeight="1">
      <c r="A2" s="39" t="s">
        <v>166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1:14" ht="18" customHeight="1">
      <c r="A3" s="29" t="s">
        <v>167</v>
      </c>
      <c r="B3" s="37"/>
      <c r="C3" s="27" t="s">
        <v>168</v>
      </c>
      <c r="D3" s="37"/>
      <c r="E3" s="19" t="s">
        <v>169</v>
      </c>
      <c r="F3" s="37"/>
      <c r="G3" s="21" t="s">
        <v>170</v>
      </c>
      <c r="H3" s="37"/>
      <c r="I3" s="56" t="s">
        <v>171</v>
      </c>
      <c r="J3" s="37"/>
      <c r="K3" s="23" t="s">
        <v>172</v>
      </c>
      <c r="L3" s="37"/>
      <c r="M3" s="25" t="s">
        <v>173</v>
      </c>
      <c r="N3" s="37"/>
    </row>
    <row r="4" spans="1:14" ht="69" customHeight="1">
      <c r="A4" s="42" t="str">
        <f>UPPER(TEXT(A1,"mmmm yyyy"))</f>
        <v>JANUARY 2027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</row>
    <row r="5" spans="1:14" ht="18" customHeight="1">
      <c r="A5" s="40">
        <f>A15</f>
        <v>46391</v>
      </c>
      <c r="B5" s="41"/>
      <c r="C5" s="40">
        <f>C15</f>
        <v>46392</v>
      </c>
      <c r="D5" s="41"/>
      <c r="E5" s="40">
        <f>E15</f>
        <v>46393</v>
      </c>
      <c r="F5" s="41"/>
      <c r="G5" s="40">
        <f>G15</f>
        <v>46394</v>
      </c>
      <c r="H5" s="41"/>
      <c r="I5" s="40">
        <f>I15</f>
        <v>46395</v>
      </c>
      <c r="J5" s="41"/>
      <c r="K5" s="40">
        <f>K15</f>
        <v>46396</v>
      </c>
      <c r="L5" s="41"/>
      <c r="M5" s="40">
        <f>M15</f>
        <v>46397</v>
      </c>
      <c r="N5" s="41"/>
    </row>
    <row r="6" spans="1:14" ht="18" customHeight="1">
      <c r="A6" s="2" t="str">
        <f>IF(WEEKDAY($A$1,1)=startday,$A$1,"")</f>
        <v/>
      </c>
      <c r="B6" s="3"/>
      <c r="C6" s="2" t="str">
        <f>IF(A6="",IF(WEEKDAY($A$1,1)=MOD(startday,7)+1,$A$1,""),A6+1)</f>
        <v/>
      </c>
      <c r="D6" s="3"/>
      <c r="E6" s="2" t="str">
        <f>IF(C6="",IF(WEEKDAY($A$1,1)=MOD(startday,7)+2,$A$1,""),C6+1)</f>
        <v/>
      </c>
      <c r="F6" s="3"/>
      <c r="G6" s="2" t="str">
        <f>IF(E6="",IF(WEEKDAY($A$1,1)=MOD(startday,7)+3,$A$1,""),E6+1)</f>
        <v/>
      </c>
      <c r="H6" s="3"/>
      <c r="I6" s="2">
        <f>IF(G6="",IF(WEEKDAY($A$1,1)=MOD(startday,7)+4,$A$1,""),G6+1)</f>
        <v>46388</v>
      </c>
      <c r="J6" s="3"/>
      <c r="K6" s="4">
        <f>IF(I6="",IF(WEEKDAY($A$1,1)=MOD(startday,7)+5,$A$1,""),I6+1)</f>
        <v>46389</v>
      </c>
      <c r="L6" s="5"/>
      <c r="M6" s="4">
        <f>IF(K6="",IF(WEEKDAY($A$1,1)=MOD(startday+5,7)+1,$A$1,""),K6+1)</f>
        <v>46390</v>
      </c>
      <c r="N6" s="5"/>
    </row>
    <row r="7" spans="1:14" ht="18" customHeight="1">
      <c r="A7" s="29" t="s">
        <v>175</v>
      </c>
      <c r="B7" s="20"/>
      <c r="C7" s="29" t="s">
        <v>175</v>
      </c>
      <c r="D7" s="20"/>
      <c r="E7" s="29" t="s">
        <v>175</v>
      </c>
      <c r="F7" s="20"/>
      <c r="G7" s="29" t="s">
        <v>175</v>
      </c>
      <c r="H7" s="20"/>
      <c r="I7" s="29" t="s">
        <v>175</v>
      </c>
      <c r="J7" s="20"/>
      <c r="K7" s="29" t="s">
        <v>175</v>
      </c>
      <c r="L7" s="20"/>
      <c r="M7" s="29" t="s">
        <v>175</v>
      </c>
      <c r="N7" s="20"/>
    </row>
    <row r="8" spans="1:14" ht="18" customHeight="1">
      <c r="A8" s="27" t="s">
        <v>194</v>
      </c>
      <c r="B8" s="20"/>
      <c r="C8" s="27" t="s">
        <v>194</v>
      </c>
      <c r="D8" s="20"/>
      <c r="E8" s="27" t="s">
        <v>194</v>
      </c>
      <c r="F8" s="20"/>
      <c r="G8" s="27" t="s">
        <v>194</v>
      </c>
      <c r="H8" s="20"/>
      <c r="I8" s="27"/>
      <c r="J8" s="20"/>
      <c r="K8" s="26"/>
      <c r="L8" s="20"/>
      <c r="M8" s="26"/>
      <c r="N8" s="20"/>
    </row>
    <row r="9" spans="1:14" ht="18" customHeight="1">
      <c r="A9" s="19" t="s">
        <v>176</v>
      </c>
      <c r="B9" s="20"/>
      <c r="C9" s="19" t="s">
        <v>176</v>
      </c>
      <c r="D9" s="20"/>
      <c r="E9" s="19" t="s">
        <v>176</v>
      </c>
      <c r="F9" s="20"/>
      <c r="G9" s="19" t="s">
        <v>176</v>
      </c>
      <c r="H9" s="20"/>
      <c r="I9" s="19" t="s">
        <v>176</v>
      </c>
      <c r="J9" s="20"/>
      <c r="K9" s="19" t="s">
        <v>176</v>
      </c>
      <c r="L9" s="20"/>
      <c r="M9" s="19" t="s">
        <v>176</v>
      </c>
      <c r="N9" s="20"/>
    </row>
    <row r="10" spans="1:14" ht="18" customHeight="1">
      <c r="A10" s="21" t="s">
        <v>206</v>
      </c>
      <c r="B10" s="20"/>
      <c r="C10" s="21" t="s">
        <v>206</v>
      </c>
      <c r="D10" s="20"/>
      <c r="E10" s="21" t="s">
        <v>206</v>
      </c>
      <c r="F10" s="20"/>
      <c r="G10" s="21" t="s">
        <v>206</v>
      </c>
      <c r="H10" s="20"/>
      <c r="I10" s="21"/>
      <c r="J10" s="20"/>
      <c r="K10" s="30"/>
      <c r="L10" s="20"/>
      <c r="M10" s="30"/>
      <c r="N10" s="20"/>
    </row>
    <row r="11" spans="1:14" ht="18" customHeight="1">
      <c r="A11" s="56"/>
      <c r="B11" s="20"/>
      <c r="C11" s="57"/>
      <c r="D11" s="20"/>
      <c r="E11" s="56"/>
      <c r="F11" s="20"/>
      <c r="G11" s="56"/>
      <c r="H11" s="20"/>
      <c r="I11" s="56"/>
      <c r="J11" s="20"/>
      <c r="K11" s="56"/>
      <c r="L11" s="20"/>
      <c r="M11" s="56"/>
      <c r="N11" s="20"/>
    </row>
    <row r="12" spans="1:14" ht="18" customHeight="1">
      <c r="A12" s="23"/>
      <c r="B12" s="20"/>
      <c r="C12" s="22"/>
      <c r="D12" s="20"/>
      <c r="E12" s="23"/>
      <c r="F12" s="20"/>
      <c r="G12" s="22"/>
      <c r="H12" s="20"/>
      <c r="I12" s="22"/>
      <c r="J12" s="20"/>
      <c r="K12" s="22"/>
      <c r="L12" s="20"/>
      <c r="M12" s="22"/>
      <c r="N12" s="20"/>
    </row>
    <row r="13" spans="1:14" ht="18" customHeight="1">
      <c r="A13" s="25"/>
      <c r="B13" s="20"/>
      <c r="C13" s="25"/>
      <c r="D13" s="20"/>
      <c r="E13" s="25"/>
      <c r="F13" s="20"/>
      <c r="G13" s="25"/>
      <c r="H13" s="20"/>
      <c r="I13" s="25"/>
      <c r="J13" s="20"/>
      <c r="K13" s="25"/>
      <c r="L13" s="20"/>
      <c r="M13" s="25"/>
      <c r="N13" s="20"/>
    </row>
    <row r="14" spans="1:14" ht="36" customHeight="1">
      <c r="A14" s="58"/>
      <c r="B14" s="24"/>
      <c r="C14" s="58"/>
      <c r="D14" s="24"/>
      <c r="E14" s="58"/>
      <c r="F14" s="24"/>
      <c r="G14" s="58"/>
      <c r="H14" s="24"/>
      <c r="I14" s="54"/>
      <c r="J14" s="24"/>
      <c r="K14" s="54"/>
      <c r="L14" s="24"/>
      <c r="M14" s="58"/>
      <c r="N14" s="24"/>
    </row>
    <row r="15" spans="1:14" ht="18" customHeight="1">
      <c r="A15" s="2">
        <f>M6+1</f>
        <v>46391</v>
      </c>
      <c r="B15" s="3"/>
      <c r="C15" s="2">
        <f>A15+1</f>
        <v>46392</v>
      </c>
      <c r="D15" s="3"/>
      <c r="E15" s="2">
        <f>C15+1</f>
        <v>46393</v>
      </c>
      <c r="F15" s="3"/>
      <c r="G15" s="2">
        <f>E15+1</f>
        <v>46394</v>
      </c>
      <c r="H15" s="3"/>
      <c r="I15" s="2">
        <f>G15+1</f>
        <v>46395</v>
      </c>
      <c r="J15" s="3"/>
      <c r="K15" s="4">
        <f>I15+1</f>
        <v>46396</v>
      </c>
      <c r="L15" s="5"/>
      <c r="M15" s="4">
        <f>K15+1</f>
        <v>46397</v>
      </c>
      <c r="N15" s="5"/>
    </row>
    <row r="16" spans="1:14" ht="18" customHeight="1">
      <c r="A16" s="50" t="s">
        <v>205</v>
      </c>
      <c r="B16" s="51"/>
      <c r="C16" s="50" t="s">
        <v>205</v>
      </c>
      <c r="D16" s="51"/>
      <c r="E16" s="50" t="s">
        <v>205</v>
      </c>
      <c r="F16" s="51"/>
      <c r="G16" s="50" t="s">
        <v>205</v>
      </c>
      <c r="H16" s="51"/>
      <c r="I16" s="50" t="s">
        <v>205</v>
      </c>
      <c r="J16" s="51"/>
      <c r="K16" s="50" t="s">
        <v>205</v>
      </c>
      <c r="L16" s="51"/>
      <c r="M16" s="50" t="s">
        <v>205</v>
      </c>
      <c r="N16" s="51"/>
    </row>
    <row r="17" spans="1:14" ht="18" customHeight="1">
      <c r="A17" s="27" t="s">
        <v>210</v>
      </c>
      <c r="B17" s="28"/>
      <c r="C17" s="27" t="s">
        <v>210</v>
      </c>
      <c r="D17" s="28"/>
      <c r="E17" s="27" t="s">
        <v>210</v>
      </c>
      <c r="F17" s="28"/>
      <c r="G17" s="27" t="s">
        <v>210</v>
      </c>
      <c r="H17" s="28"/>
      <c r="I17" s="27" t="s">
        <v>210</v>
      </c>
      <c r="J17" s="28"/>
      <c r="K17" s="26"/>
      <c r="L17" s="20"/>
      <c r="M17" s="26"/>
      <c r="N17" s="20"/>
    </row>
    <row r="18" spans="1:14" ht="18" customHeight="1">
      <c r="A18" s="19" t="s">
        <v>189</v>
      </c>
      <c r="B18" s="20"/>
      <c r="C18" s="19" t="s">
        <v>189</v>
      </c>
      <c r="D18" s="20"/>
      <c r="E18" s="19" t="s">
        <v>189</v>
      </c>
      <c r="F18" s="20"/>
      <c r="G18" s="19" t="s">
        <v>189</v>
      </c>
      <c r="H18" s="20"/>
      <c r="I18" s="19" t="s">
        <v>189</v>
      </c>
      <c r="J18" s="20"/>
      <c r="K18" s="19" t="s">
        <v>189</v>
      </c>
      <c r="L18" s="20"/>
      <c r="M18" s="19" t="s">
        <v>189</v>
      </c>
      <c r="N18" s="20"/>
    </row>
    <row r="19" spans="1:14" ht="18" customHeight="1">
      <c r="A19" s="21" t="s">
        <v>177</v>
      </c>
      <c r="B19" s="20"/>
      <c r="C19" s="21" t="s">
        <v>177</v>
      </c>
      <c r="D19" s="20"/>
      <c r="E19" s="21" t="s">
        <v>177</v>
      </c>
      <c r="F19" s="20"/>
      <c r="G19" s="21" t="s">
        <v>177</v>
      </c>
      <c r="H19" s="20"/>
      <c r="I19" s="21" t="s">
        <v>177</v>
      </c>
      <c r="J19" s="20"/>
      <c r="K19" s="21"/>
      <c r="L19" s="20"/>
      <c r="M19" s="21"/>
      <c r="N19" s="20"/>
    </row>
    <row r="20" spans="1:14" ht="18" customHeight="1">
      <c r="A20" s="56"/>
      <c r="B20" s="20"/>
      <c r="C20" s="56"/>
      <c r="D20" s="20"/>
      <c r="E20" s="56"/>
      <c r="F20" s="20"/>
      <c r="G20" s="56"/>
      <c r="H20" s="20"/>
      <c r="I20" s="56"/>
      <c r="J20" s="20"/>
      <c r="K20" s="56"/>
      <c r="L20" s="20"/>
      <c r="M20" s="56"/>
      <c r="N20" s="20"/>
    </row>
    <row r="21" spans="1:14" ht="18" customHeight="1">
      <c r="A21" s="23"/>
      <c r="B21" s="20"/>
      <c r="C21" s="22"/>
      <c r="D21" s="20"/>
      <c r="E21" s="23"/>
      <c r="F21" s="20"/>
      <c r="G21" s="22"/>
      <c r="H21" s="20"/>
      <c r="I21" s="22"/>
      <c r="J21" s="20"/>
      <c r="K21" s="22"/>
      <c r="L21" s="20"/>
      <c r="M21" s="22"/>
      <c r="N21" s="20"/>
    </row>
    <row r="22" spans="1:14" ht="18" customHeight="1">
      <c r="A22" s="25"/>
      <c r="B22" s="20"/>
      <c r="C22" s="25"/>
      <c r="D22" s="20"/>
      <c r="E22" s="25"/>
      <c r="F22" s="20"/>
      <c r="G22" s="25"/>
      <c r="H22" s="20"/>
      <c r="I22" s="25"/>
      <c r="J22" s="20"/>
      <c r="K22" s="25"/>
      <c r="L22" s="20"/>
      <c r="M22" s="25"/>
      <c r="N22" s="20"/>
    </row>
    <row r="23" spans="1:14" ht="18" customHeight="1">
      <c r="A23" s="58"/>
      <c r="B23" s="24"/>
      <c r="C23" s="58"/>
      <c r="D23" s="24"/>
      <c r="E23" s="58"/>
      <c r="F23" s="24"/>
      <c r="G23" s="58"/>
      <c r="H23" s="24"/>
      <c r="I23" s="58"/>
      <c r="J23" s="24"/>
      <c r="K23" s="58"/>
      <c r="L23" s="24"/>
      <c r="M23" s="58"/>
      <c r="N23" s="24"/>
    </row>
    <row r="24" spans="1:14" ht="18" customHeight="1">
      <c r="A24" s="2">
        <f>M15+1</f>
        <v>46398</v>
      </c>
      <c r="B24" s="3"/>
      <c r="C24" s="2">
        <f>A24+1</f>
        <v>46399</v>
      </c>
      <c r="D24" s="3"/>
      <c r="E24" s="2">
        <f>C24+1</f>
        <v>46400</v>
      </c>
      <c r="F24" s="3"/>
      <c r="G24" s="2">
        <f>E24+1</f>
        <v>46401</v>
      </c>
      <c r="H24" s="3"/>
      <c r="I24" s="2">
        <f>G24+1</f>
        <v>46402</v>
      </c>
      <c r="J24" s="3"/>
      <c r="K24" s="4">
        <f>I24+1</f>
        <v>46403</v>
      </c>
      <c r="L24" s="5"/>
      <c r="M24" s="4">
        <f>K24+1</f>
        <v>46404</v>
      </c>
      <c r="N24" s="5"/>
    </row>
    <row r="25" spans="1:14" ht="18" customHeight="1">
      <c r="A25" s="29" t="s">
        <v>186</v>
      </c>
      <c r="B25" s="20"/>
      <c r="C25" s="29" t="s">
        <v>186</v>
      </c>
      <c r="D25" s="20"/>
      <c r="E25" s="29" t="s">
        <v>186</v>
      </c>
      <c r="F25" s="20"/>
      <c r="G25" s="29" t="s">
        <v>186</v>
      </c>
      <c r="H25" s="20"/>
      <c r="I25" s="29" t="s">
        <v>186</v>
      </c>
      <c r="J25" s="20"/>
      <c r="K25" s="29" t="s">
        <v>186</v>
      </c>
      <c r="L25" s="20"/>
      <c r="M25" s="29" t="s">
        <v>186</v>
      </c>
      <c r="N25" s="20"/>
    </row>
    <row r="26" spans="1:14" ht="18" customHeight="1">
      <c r="A26" s="27" t="s">
        <v>199</v>
      </c>
      <c r="B26" s="20"/>
      <c r="C26" s="27" t="s">
        <v>199</v>
      </c>
      <c r="D26" s="20"/>
      <c r="E26" s="27" t="s">
        <v>199</v>
      </c>
      <c r="F26" s="20"/>
      <c r="G26" s="27" t="s">
        <v>199</v>
      </c>
      <c r="H26" s="20"/>
      <c r="I26" s="27" t="s">
        <v>199</v>
      </c>
      <c r="J26" s="20"/>
      <c r="K26" s="26"/>
      <c r="L26" s="20"/>
      <c r="M26" s="26"/>
      <c r="N26" s="20"/>
    </row>
    <row r="27" spans="1:14" ht="18" customHeight="1">
      <c r="A27" s="19" t="s">
        <v>206</v>
      </c>
      <c r="B27" s="20"/>
      <c r="C27" s="19" t="s">
        <v>206</v>
      </c>
      <c r="D27" s="20"/>
      <c r="E27" s="19" t="s">
        <v>206</v>
      </c>
      <c r="F27" s="20"/>
      <c r="G27" s="19" t="s">
        <v>206</v>
      </c>
      <c r="H27" s="20"/>
      <c r="I27" s="19" t="s">
        <v>206</v>
      </c>
      <c r="J27" s="20"/>
      <c r="K27" s="19" t="s">
        <v>206</v>
      </c>
      <c r="L27" s="20"/>
      <c r="M27" s="19" t="s">
        <v>206</v>
      </c>
      <c r="N27" s="20"/>
    </row>
    <row r="28" spans="1:14" ht="18" customHeight="1">
      <c r="A28" s="21" t="s">
        <v>176</v>
      </c>
      <c r="B28" s="20"/>
      <c r="C28" s="21" t="s">
        <v>176</v>
      </c>
      <c r="D28" s="20"/>
      <c r="E28" s="21" t="s">
        <v>176</v>
      </c>
      <c r="F28" s="20"/>
      <c r="G28" s="21" t="s">
        <v>176</v>
      </c>
      <c r="H28" s="20"/>
      <c r="I28" s="21" t="s">
        <v>176</v>
      </c>
      <c r="J28" s="20"/>
      <c r="K28" s="21"/>
      <c r="L28" s="20"/>
      <c r="M28" s="21"/>
      <c r="N28" s="20"/>
    </row>
    <row r="29" spans="1:14" ht="18" customHeight="1">
      <c r="A29" s="56"/>
      <c r="B29" s="20"/>
      <c r="C29" s="56"/>
      <c r="D29" s="20"/>
      <c r="E29" s="56"/>
      <c r="F29" s="20"/>
      <c r="G29" s="56"/>
      <c r="H29" s="20"/>
      <c r="I29" s="56"/>
      <c r="J29" s="20"/>
      <c r="K29" s="56"/>
      <c r="L29" s="20"/>
      <c r="M29" s="56"/>
      <c r="N29" s="20"/>
    </row>
    <row r="30" spans="1:14" ht="18" customHeight="1">
      <c r="A30" s="23"/>
      <c r="B30" s="20"/>
      <c r="C30" s="22"/>
      <c r="D30" s="20"/>
      <c r="E30" s="23"/>
      <c r="F30" s="20"/>
      <c r="G30" s="22"/>
      <c r="H30" s="20"/>
      <c r="I30" s="22"/>
      <c r="J30" s="20"/>
      <c r="K30" s="22"/>
      <c r="L30" s="20"/>
      <c r="M30" s="22"/>
      <c r="N30" s="20"/>
    </row>
    <row r="31" spans="1:14" ht="18" customHeight="1">
      <c r="A31" s="25"/>
      <c r="B31" s="20"/>
      <c r="C31" s="25"/>
      <c r="D31" s="20"/>
      <c r="E31" s="25"/>
      <c r="F31" s="20"/>
      <c r="G31" s="25"/>
      <c r="H31" s="20"/>
      <c r="I31" s="25"/>
      <c r="J31" s="20"/>
      <c r="K31" s="25"/>
      <c r="L31" s="20"/>
      <c r="M31" s="25"/>
      <c r="N31" s="20"/>
    </row>
    <row r="32" spans="1:14" ht="18" customHeight="1">
      <c r="A32" s="58"/>
      <c r="B32" s="24"/>
      <c r="C32" s="58"/>
      <c r="D32" s="24"/>
      <c r="E32" s="58"/>
      <c r="F32" s="24"/>
      <c r="G32" s="58"/>
      <c r="H32" s="24"/>
      <c r="I32" s="58"/>
      <c r="J32" s="24"/>
      <c r="K32" s="58"/>
      <c r="L32" s="24"/>
      <c r="M32" s="58"/>
      <c r="N32" s="24"/>
    </row>
    <row r="33" spans="1:14" ht="18" customHeight="1">
      <c r="A33" s="2">
        <f>M24+1</f>
        <v>46405</v>
      </c>
      <c r="B33" s="3" t="s">
        <v>216</v>
      </c>
      <c r="C33" s="2">
        <f>A33+1</f>
        <v>46406</v>
      </c>
      <c r="D33" s="3"/>
      <c r="E33" s="2">
        <f>C33+1</f>
        <v>46407</v>
      </c>
      <c r="F33" s="3"/>
      <c r="G33" s="2">
        <f>E33+1</f>
        <v>46408</v>
      </c>
      <c r="H33" s="3"/>
      <c r="I33" s="2">
        <f>G33+1</f>
        <v>46409</v>
      </c>
      <c r="J33" s="3"/>
      <c r="K33" s="4">
        <f>I33+1</f>
        <v>46410</v>
      </c>
      <c r="L33" s="5"/>
      <c r="M33" s="4">
        <f>K33+1</f>
        <v>46411</v>
      </c>
      <c r="N33" s="5"/>
    </row>
    <row r="34" spans="1:14" ht="18" customHeight="1">
      <c r="A34" s="29" t="s">
        <v>186</v>
      </c>
      <c r="B34" s="20"/>
      <c r="C34" s="29" t="s">
        <v>210</v>
      </c>
      <c r="D34" s="20"/>
      <c r="E34" s="29" t="s">
        <v>210</v>
      </c>
      <c r="F34" s="20"/>
      <c r="G34" s="29" t="s">
        <v>210</v>
      </c>
      <c r="H34" s="20"/>
      <c r="I34" s="29" t="s">
        <v>210</v>
      </c>
      <c r="J34" s="20"/>
      <c r="K34" s="29"/>
      <c r="L34" s="20"/>
      <c r="M34" s="29"/>
      <c r="N34" s="20"/>
    </row>
    <row r="35" spans="1:14" ht="18" customHeight="1">
      <c r="A35" s="27"/>
      <c r="B35" s="20"/>
      <c r="C35" s="27" t="s">
        <v>178</v>
      </c>
      <c r="D35" s="20"/>
      <c r="E35" s="27" t="s">
        <v>178</v>
      </c>
      <c r="F35" s="20"/>
      <c r="G35" s="27" t="s">
        <v>178</v>
      </c>
      <c r="H35" s="20"/>
      <c r="I35" s="27" t="s">
        <v>178</v>
      </c>
      <c r="J35" s="20"/>
      <c r="K35" s="27"/>
      <c r="L35" s="20"/>
      <c r="M35" s="26"/>
      <c r="N35" s="20"/>
    </row>
    <row r="36" spans="1:14" ht="18" customHeight="1">
      <c r="A36" s="19" t="s">
        <v>188</v>
      </c>
      <c r="B36" s="20"/>
      <c r="C36" s="19" t="s">
        <v>188</v>
      </c>
      <c r="D36" s="20"/>
      <c r="E36" s="19" t="s">
        <v>188</v>
      </c>
      <c r="F36" s="20"/>
      <c r="G36" s="19" t="s">
        <v>188</v>
      </c>
      <c r="H36" s="20"/>
      <c r="I36" s="19" t="s">
        <v>188</v>
      </c>
      <c r="J36" s="20"/>
      <c r="K36" s="19" t="s">
        <v>188</v>
      </c>
      <c r="L36" s="20"/>
      <c r="M36" s="19" t="s">
        <v>188</v>
      </c>
      <c r="N36" s="20"/>
    </row>
    <row r="37" spans="1:14" ht="18" customHeight="1">
      <c r="A37" s="21"/>
      <c r="B37" s="20"/>
      <c r="C37" s="21" t="s">
        <v>189</v>
      </c>
      <c r="D37" s="20"/>
      <c r="E37" s="21" t="s">
        <v>189</v>
      </c>
      <c r="F37" s="20"/>
      <c r="G37" s="21" t="s">
        <v>189</v>
      </c>
      <c r="H37" s="20"/>
      <c r="I37" s="21" t="s">
        <v>189</v>
      </c>
      <c r="J37" s="20"/>
      <c r="K37" s="30"/>
      <c r="L37" s="20"/>
      <c r="M37" s="30"/>
      <c r="N37" s="20"/>
    </row>
    <row r="38" spans="1:14" ht="18" customHeight="1">
      <c r="A38" s="56"/>
      <c r="B38" s="20"/>
      <c r="C38" s="56"/>
      <c r="D38" s="20"/>
      <c r="E38" s="56"/>
      <c r="F38" s="20"/>
      <c r="G38" s="56"/>
      <c r="H38" s="20"/>
      <c r="I38" s="56"/>
      <c r="J38" s="20"/>
      <c r="K38" s="56"/>
      <c r="L38" s="20"/>
      <c r="M38" s="56"/>
      <c r="N38" s="20"/>
    </row>
    <row r="39" spans="1:14" ht="18" customHeight="1">
      <c r="A39" s="23"/>
      <c r="B39" s="20"/>
      <c r="C39" s="22"/>
      <c r="D39" s="20"/>
      <c r="E39" s="23"/>
      <c r="F39" s="20"/>
      <c r="G39" s="22"/>
      <c r="H39" s="20"/>
      <c r="I39" s="22"/>
      <c r="J39" s="20"/>
      <c r="K39" s="22"/>
      <c r="L39" s="20"/>
      <c r="M39" s="22"/>
      <c r="N39" s="20"/>
    </row>
    <row r="40" spans="1:14" ht="18" customHeight="1">
      <c r="A40" s="25"/>
      <c r="B40" s="20"/>
      <c r="C40" s="25"/>
      <c r="D40" s="20"/>
      <c r="E40" s="25"/>
      <c r="F40" s="20"/>
      <c r="G40" s="25"/>
      <c r="H40" s="20"/>
      <c r="I40" s="25"/>
      <c r="J40" s="20"/>
      <c r="K40" s="25"/>
      <c r="L40" s="20"/>
      <c r="M40" s="25"/>
      <c r="N40" s="20"/>
    </row>
    <row r="41" spans="1:14" ht="18" customHeight="1">
      <c r="A41" s="58"/>
      <c r="B41" s="24"/>
      <c r="C41" s="58"/>
      <c r="D41" s="24"/>
      <c r="E41" s="58"/>
      <c r="F41" s="24"/>
      <c r="G41" s="58"/>
      <c r="H41" s="24"/>
      <c r="I41" s="58"/>
      <c r="J41" s="24"/>
      <c r="K41" s="58"/>
      <c r="L41" s="24"/>
      <c r="M41" s="58"/>
      <c r="N41" s="24"/>
    </row>
    <row r="42" spans="1:14" ht="18" customHeight="1">
      <c r="A42" s="2">
        <f>IF(M33="","",IF(MONTH(M33+1)&lt;&gt;MONTH($A$1),"",M33+1))</f>
        <v>46412</v>
      </c>
      <c r="B42" s="3"/>
      <c r="C42" s="2">
        <f>IF(A42="","",IF(MONTH(A42+1)&lt;&gt;MONTH($A$1),"",A42+1))</f>
        <v>46413</v>
      </c>
      <c r="D42" s="3"/>
      <c r="E42" s="2">
        <v>27</v>
      </c>
      <c r="F42" s="3"/>
      <c r="G42" s="2">
        <v>28</v>
      </c>
      <c r="H42" s="3"/>
      <c r="I42" s="2">
        <v>29</v>
      </c>
      <c r="J42" s="3"/>
      <c r="K42" s="4">
        <v>30</v>
      </c>
      <c r="L42" s="5"/>
      <c r="M42" s="4">
        <v>31</v>
      </c>
      <c r="N42" s="5"/>
    </row>
    <row r="43" spans="1:14" ht="18" customHeight="1">
      <c r="A43" s="29" t="s">
        <v>203</v>
      </c>
      <c r="B43" s="20"/>
      <c r="C43" s="29" t="s">
        <v>203</v>
      </c>
      <c r="D43" s="20"/>
      <c r="E43" s="29" t="s">
        <v>203</v>
      </c>
      <c r="F43" s="20"/>
      <c r="G43" s="29" t="s">
        <v>203</v>
      </c>
      <c r="H43" s="20"/>
      <c r="I43" s="29" t="s">
        <v>203</v>
      </c>
      <c r="J43" s="20"/>
      <c r="K43" s="29" t="s">
        <v>203</v>
      </c>
      <c r="L43" s="20"/>
      <c r="M43" s="29" t="s">
        <v>203</v>
      </c>
      <c r="N43" s="20"/>
    </row>
    <row r="44" spans="1:14" ht="18" customHeight="1">
      <c r="A44" s="27" t="s">
        <v>178</v>
      </c>
      <c r="B44" s="20"/>
      <c r="C44" s="27" t="s">
        <v>178</v>
      </c>
      <c r="D44" s="20"/>
      <c r="E44" s="27" t="s">
        <v>178</v>
      </c>
      <c r="F44" s="20"/>
      <c r="G44" s="27" t="s">
        <v>178</v>
      </c>
      <c r="H44" s="20"/>
      <c r="I44" s="27" t="s">
        <v>178</v>
      </c>
      <c r="J44" s="20"/>
      <c r="K44" s="26"/>
      <c r="L44" s="20"/>
      <c r="M44" s="26"/>
      <c r="N44" s="20"/>
    </row>
    <row r="45" spans="1:14" ht="18" customHeight="1">
      <c r="A45" s="19" t="s">
        <v>187</v>
      </c>
      <c r="B45" s="20"/>
      <c r="C45" s="19" t="s">
        <v>187</v>
      </c>
      <c r="D45" s="20"/>
      <c r="E45" s="19" t="s">
        <v>187</v>
      </c>
      <c r="F45" s="20"/>
      <c r="G45" s="19" t="s">
        <v>187</v>
      </c>
      <c r="H45" s="20"/>
      <c r="I45" s="19" t="s">
        <v>187</v>
      </c>
      <c r="J45" s="20"/>
      <c r="K45" s="19" t="s">
        <v>187</v>
      </c>
      <c r="L45" s="20"/>
      <c r="M45" s="19" t="s">
        <v>187</v>
      </c>
      <c r="N45" s="20"/>
    </row>
    <row r="46" spans="1:14" ht="18" customHeight="1">
      <c r="A46" s="21" t="s">
        <v>202</v>
      </c>
      <c r="B46" s="20"/>
      <c r="C46" s="21" t="s">
        <v>202</v>
      </c>
      <c r="D46" s="20"/>
      <c r="E46" s="21" t="s">
        <v>202</v>
      </c>
      <c r="F46" s="20"/>
      <c r="G46" s="21" t="s">
        <v>202</v>
      </c>
      <c r="H46" s="20"/>
      <c r="I46" s="21" t="s">
        <v>202</v>
      </c>
      <c r="J46" s="20"/>
      <c r="K46" s="30"/>
      <c r="L46" s="20"/>
      <c r="M46" s="30"/>
      <c r="N46" s="20"/>
    </row>
    <row r="47" spans="1:14" ht="18" customHeight="1">
      <c r="A47" s="56"/>
      <c r="B47" s="20"/>
      <c r="C47" s="56"/>
      <c r="D47" s="20"/>
      <c r="E47" s="56"/>
      <c r="F47" s="20"/>
      <c r="G47" s="56"/>
      <c r="H47" s="20"/>
      <c r="I47" s="56"/>
      <c r="J47" s="20"/>
      <c r="K47" s="57"/>
      <c r="L47" s="20"/>
      <c r="M47" s="57"/>
      <c r="N47" s="20"/>
    </row>
    <row r="48" spans="1:14" ht="18" customHeight="1">
      <c r="A48" s="23"/>
      <c r="B48" s="20"/>
      <c r="C48" s="22"/>
      <c r="D48" s="20"/>
      <c r="E48" s="23"/>
      <c r="F48" s="20"/>
      <c r="G48" s="22"/>
      <c r="H48" s="20"/>
      <c r="I48" s="22"/>
      <c r="J48" s="20"/>
      <c r="K48" s="22"/>
      <c r="L48" s="20"/>
      <c r="M48" s="22"/>
      <c r="N48" s="20"/>
    </row>
    <row r="49" spans="1:14" ht="18" customHeight="1">
      <c r="A49" s="25"/>
      <c r="B49" s="20"/>
      <c r="C49" s="25"/>
      <c r="D49" s="20"/>
      <c r="E49" s="25"/>
      <c r="F49" s="20"/>
      <c r="G49" s="25"/>
      <c r="H49" s="20"/>
      <c r="I49" s="25"/>
      <c r="J49" s="20"/>
      <c r="K49" s="25"/>
      <c r="L49" s="20"/>
      <c r="M49" s="25"/>
      <c r="N49" s="20"/>
    </row>
    <row r="50" spans="1:14" ht="18" customHeight="1">
      <c r="A50" s="58"/>
      <c r="B50" s="24"/>
      <c r="C50" s="58"/>
      <c r="D50" s="24"/>
      <c r="E50" s="58"/>
      <c r="F50" s="24"/>
      <c r="G50" s="58"/>
      <c r="H50" s="24"/>
      <c r="I50" s="58"/>
      <c r="J50" s="24"/>
      <c r="K50" s="58"/>
      <c r="L50" s="24"/>
      <c r="M50" s="58"/>
      <c r="N50" s="24"/>
    </row>
    <row r="51" spans="1:14" ht="18" customHeight="1">
      <c r="A51" s="2"/>
      <c r="B51" s="3"/>
      <c r="C51" s="2"/>
      <c r="D51" s="3"/>
      <c r="E51" s="46" t="s">
        <v>22</v>
      </c>
      <c r="F51" s="47"/>
      <c r="G51" s="48"/>
      <c r="H51" s="47"/>
      <c r="I51" s="47"/>
      <c r="J51" s="47"/>
      <c r="K51" s="47"/>
      <c r="L51" s="47"/>
      <c r="M51" s="47"/>
      <c r="N51" s="49"/>
    </row>
    <row r="52" spans="1:14" ht="18" customHeight="1">
      <c r="A52" s="29"/>
      <c r="B52" s="20"/>
      <c r="C52" s="44"/>
      <c r="D52" s="20"/>
      <c r="E52" s="45"/>
      <c r="F52" s="37"/>
      <c r="G52" s="37"/>
      <c r="H52" s="37"/>
      <c r="I52" s="37"/>
      <c r="J52" s="37"/>
      <c r="K52" s="37"/>
      <c r="L52" s="37"/>
      <c r="M52" s="37"/>
      <c r="N52" s="20"/>
    </row>
    <row r="53" spans="1:14" ht="18" customHeight="1">
      <c r="A53" s="27"/>
      <c r="B53" s="20"/>
      <c r="C53" s="26"/>
      <c r="D53" s="20"/>
      <c r="E53" s="45"/>
      <c r="F53" s="37"/>
      <c r="G53" s="37"/>
      <c r="H53" s="37"/>
      <c r="I53" s="37"/>
      <c r="J53" s="37"/>
      <c r="K53" s="37"/>
      <c r="L53" s="37"/>
      <c r="M53" s="37"/>
      <c r="N53" s="20"/>
    </row>
    <row r="54" spans="1:14" ht="18" customHeight="1">
      <c r="A54" s="19"/>
      <c r="B54" s="20"/>
      <c r="C54" s="35"/>
      <c r="D54" s="20"/>
      <c r="E54" s="45"/>
      <c r="F54" s="37"/>
      <c r="G54" s="37"/>
      <c r="H54" s="37"/>
      <c r="I54" s="37"/>
      <c r="J54" s="37"/>
      <c r="K54" s="37"/>
      <c r="L54" s="37"/>
      <c r="M54" s="37"/>
      <c r="N54" s="20"/>
    </row>
    <row r="55" spans="1:14" ht="18" customHeight="1">
      <c r="A55" s="21"/>
      <c r="B55" s="20"/>
      <c r="C55" s="30"/>
      <c r="D55" s="20"/>
      <c r="E55" s="6"/>
      <c r="F55" s="7"/>
      <c r="G55" s="7"/>
      <c r="H55" s="7"/>
      <c r="I55" s="7"/>
      <c r="J55" s="7"/>
      <c r="K55" s="7"/>
      <c r="L55" s="7"/>
      <c r="M55" s="7"/>
      <c r="N55" s="8"/>
    </row>
    <row r="56" spans="1:14" ht="18" customHeight="1">
      <c r="A56" s="56"/>
      <c r="B56" s="20"/>
      <c r="C56" s="57"/>
      <c r="D56" s="20"/>
      <c r="E56" s="6"/>
      <c r="F56" s="7"/>
      <c r="G56" s="7"/>
      <c r="H56" s="7"/>
      <c r="I56" s="7"/>
      <c r="J56" s="7"/>
      <c r="K56" s="7"/>
      <c r="L56" s="7"/>
      <c r="M56" s="7"/>
      <c r="N56" s="8"/>
    </row>
    <row r="57" spans="1:14" ht="18" customHeight="1">
      <c r="A57" s="23"/>
      <c r="B57" s="20"/>
      <c r="C57" s="22"/>
      <c r="D57" s="20"/>
      <c r="E57" s="6"/>
      <c r="F57" s="7"/>
      <c r="G57" s="7"/>
      <c r="H57" s="7"/>
      <c r="I57" s="7"/>
      <c r="J57" s="7"/>
      <c r="K57" s="7"/>
      <c r="L57" s="7"/>
      <c r="M57" s="7"/>
      <c r="N57" s="8"/>
    </row>
    <row r="58" spans="1:14" ht="18" customHeight="1">
      <c r="A58" s="25"/>
      <c r="B58" s="20"/>
      <c r="C58" s="31"/>
      <c r="D58" s="24"/>
      <c r="E58" s="32" t="s">
        <v>23</v>
      </c>
      <c r="F58" s="33"/>
      <c r="G58" s="33"/>
      <c r="H58" s="33"/>
      <c r="I58" s="34" t="str">
        <f>HYPERLINK("https://www.vertex42.com/calendars/academic-calendar.html","https://www.vertex42.com/calendars/academic-calendar.html")</f>
        <v>https://www.vertex42.com/calendars/academic-calendar.html</v>
      </c>
      <c r="J58" s="33"/>
      <c r="K58" s="33"/>
      <c r="L58" s="33"/>
      <c r="M58" s="33"/>
      <c r="N58" s="24"/>
    </row>
  </sheetData>
  <mergeCells count="319">
    <mergeCell ref="G20:H20"/>
    <mergeCell ref="G18:H18"/>
    <mergeCell ref="G17:H17"/>
    <mergeCell ref="G19:H19"/>
    <mergeCell ref="G14:H14"/>
    <mergeCell ref="K17:L17"/>
    <mergeCell ref="I17:J17"/>
    <mergeCell ref="M18:N18"/>
    <mergeCell ref="M19:N19"/>
    <mergeCell ref="I20:J20"/>
    <mergeCell ref="K19:L19"/>
    <mergeCell ref="K20:L20"/>
    <mergeCell ref="I18:J18"/>
    <mergeCell ref="I19:J19"/>
    <mergeCell ref="M17:N17"/>
    <mergeCell ref="M20:N20"/>
    <mergeCell ref="K18:L18"/>
    <mergeCell ref="K21:L21"/>
    <mergeCell ref="K22:L22"/>
    <mergeCell ref="I22:J22"/>
    <mergeCell ref="M22:N22"/>
    <mergeCell ref="K26:L26"/>
    <mergeCell ref="K27:L27"/>
    <mergeCell ref="M21:N21"/>
    <mergeCell ref="I21:J21"/>
    <mergeCell ref="K25:L25"/>
    <mergeCell ref="I25:J25"/>
    <mergeCell ref="I23:J23"/>
    <mergeCell ref="M25:N25"/>
    <mergeCell ref="K23:L23"/>
    <mergeCell ref="M23:N23"/>
    <mergeCell ref="I26:J26"/>
    <mergeCell ref="I27:J27"/>
    <mergeCell ref="K28:L28"/>
    <mergeCell ref="M26:N26"/>
    <mergeCell ref="I35:J35"/>
    <mergeCell ref="G35:H35"/>
    <mergeCell ref="K35:L35"/>
    <mergeCell ref="K34:L34"/>
    <mergeCell ref="I29:J29"/>
    <mergeCell ref="I30:J30"/>
    <mergeCell ref="I28:J28"/>
    <mergeCell ref="K32:L32"/>
    <mergeCell ref="I32:J32"/>
    <mergeCell ref="M31:N31"/>
    <mergeCell ref="M30:N30"/>
    <mergeCell ref="M32:N32"/>
    <mergeCell ref="M27:N27"/>
    <mergeCell ref="M28:N28"/>
    <mergeCell ref="M29:N29"/>
    <mergeCell ref="I31:J31"/>
    <mergeCell ref="K30:L30"/>
    <mergeCell ref="K31:L31"/>
    <mergeCell ref="E10:F10"/>
    <mergeCell ref="E9:F9"/>
    <mergeCell ref="I8:J8"/>
    <mergeCell ref="G8:H8"/>
    <mergeCell ref="I7:J7"/>
    <mergeCell ref="E7:F7"/>
    <mergeCell ref="E8:F8"/>
    <mergeCell ref="I10:J10"/>
    <mergeCell ref="G12:H12"/>
    <mergeCell ref="K9:L9"/>
    <mergeCell ref="K8:L8"/>
    <mergeCell ref="M8:N8"/>
    <mergeCell ref="M9:N9"/>
    <mergeCell ref="M7:N7"/>
    <mergeCell ref="K7:L7"/>
    <mergeCell ref="I16:J16"/>
    <mergeCell ref="G16:H16"/>
    <mergeCell ref="I12:J12"/>
    <mergeCell ref="K12:L12"/>
    <mergeCell ref="K16:L16"/>
    <mergeCell ref="I9:J9"/>
    <mergeCell ref="G9:H9"/>
    <mergeCell ref="M16:N16"/>
    <mergeCell ref="M13:N13"/>
    <mergeCell ref="M12:N12"/>
    <mergeCell ref="G13:H13"/>
    <mergeCell ref="K14:L14"/>
    <mergeCell ref="I14:J14"/>
    <mergeCell ref="M14:N14"/>
    <mergeCell ref="K1:N1"/>
    <mergeCell ref="A2:N2"/>
    <mergeCell ref="A1:B1"/>
    <mergeCell ref="A4:N4"/>
    <mergeCell ref="K13:L13"/>
    <mergeCell ref="I13:J13"/>
    <mergeCell ref="K11:L11"/>
    <mergeCell ref="I11:J11"/>
    <mergeCell ref="E12:F12"/>
    <mergeCell ref="C12:D12"/>
    <mergeCell ref="E11:F11"/>
    <mergeCell ref="G7:H7"/>
    <mergeCell ref="G11:H11"/>
    <mergeCell ref="G10:H10"/>
    <mergeCell ref="K10:L10"/>
    <mergeCell ref="M10:N10"/>
    <mergeCell ref="M11:N11"/>
    <mergeCell ref="M5:N5"/>
    <mergeCell ref="K5:L5"/>
    <mergeCell ref="G5:H5"/>
    <mergeCell ref="I5:J5"/>
    <mergeCell ref="G3:H3"/>
    <mergeCell ref="I3:J3"/>
    <mergeCell ref="C3:D3"/>
    <mergeCell ref="A3:B3"/>
    <mergeCell ref="C5:D5"/>
    <mergeCell ref="A5:B5"/>
    <mergeCell ref="E3:F3"/>
    <mergeCell ref="E5:F5"/>
    <mergeCell ref="M3:N3"/>
    <mergeCell ref="K3:L3"/>
    <mergeCell ref="C56:D56"/>
    <mergeCell ref="C57:D57"/>
    <mergeCell ref="C53:D53"/>
    <mergeCell ref="E53:N53"/>
    <mergeCell ref="E54:N54"/>
    <mergeCell ref="A11:B11"/>
    <mergeCell ref="C11:D11"/>
    <mergeCell ref="A10:B10"/>
    <mergeCell ref="A8:B8"/>
    <mergeCell ref="A9:B9"/>
    <mergeCell ref="C10:D10"/>
    <mergeCell ref="C9:D9"/>
    <mergeCell ref="C8:D8"/>
    <mergeCell ref="C7:D7"/>
    <mergeCell ref="A7:B7"/>
    <mergeCell ref="A48:B48"/>
    <mergeCell ref="A45:B45"/>
    <mergeCell ref="E50:F50"/>
    <mergeCell ref="G50:H50"/>
    <mergeCell ref="E58:H58"/>
    <mergeCell ref="C52:D52"/>
    <mergeCell ref="I58:N58"/>
    <mergeCell ref="C58:D58"/>
    <mergeCell ref="C54:D54"/>
    <mergeCell ref="C55:D55"/>
    <mergeCell ref="E52:N52"/>
    <mergeCell ref="E51:F51"/>
    <mergeCell ref="M50:N50"/>
    <mergeCell ref="K50:L50"/>
    <mergeCell ref="I50:J50"/>
    <mergeCell ref="G51:N51"/>
    <mergeCell ref="C50:D50"/>
    <mergeCell ref="A47:B47"/>
    <mergeCell ref="A46:B46"/>
    <mergeCell ref="A57:B57"/>
    <mergeCell ref="A56:B56"/>
    <mergeCell ref="A49:B49"/>
    <mergeCell ref="A52:B52"/>
    <mergeCell ref="A53:B53"/>
    <mergeCell ref="A27:B27"/>
    <mergeCell ref="A58:B58"/>
    <mergeCell ref="A54:B54"/>
    <mergeCell ref="A50:B50"/>
    <mergeCell ref="A55:B55"/>
    <mergeCell ref="A44:B44"/>
    <mergeCell ref="A28:B28"/>
    <mergeCell ref="A29:B29"/>
    <mergeCell ref="A31:B31"/>
    <mergeCell ref="A32:B32"/>
    <mergeCell ref="A30:B30"/>
    <mergeCell ref="A34:B34"/>
    <mergeCell ref="A41:B41"/>
    <mergeCell ref="A43:B43"/>
    <mergeCell ref="A40:B40"/>
    <mergeCell ref="A38:B38"/>
    <mergeCell ref="A39:B39"/>
    <mergeCell ref="G22:H22"/>
    <mergeCell ref="E28:F28"/>
    <mergeCell ref="G30:H30"/>
    <mergeCell ref="G21:H21"/>
    <mergeCell ref="C25:D25"/>
    <mergeCell ref="C28:D28"/>
    <mergeCell ref="C29:D29"/>
    <mergeCell ref="E30:F30"/>
    <mergeCell ref="E29:F29"/>
    <mergeCell ref="E25:F25"/>
    <mergeCell ref="E26:F26"/>
    <mergeCell ref="G28:H28"/>
    <mergeCell ref="G29:H29"/>
    <mergeCell ref="G26:H26"/>
    <mergeCell ref="G27:H27"/>
    <mergeCell ref="G25:H25"/>
    <mergeCell ref="G23:H23"/>
    <mergeCell ref="E17:F17"/>
    <mergeCell ref="C17:D17"/>
    <mergeCell ref="C21:D21"/>
    <mergeCell ref="C18:D18"/>
    <mergeCell ref="C19:D19"/>
    <mergeCell ref="A19:B19"/>
    <mergeCell ref="E14:F14"/>
    <mergeCell ref="A25:B25"/>
    <mergeCell ref="A26:B26"/>
    <mergeCell ref="A12:B12"/>
    <mergeCell ref="A16:B16"/>
    <mergeCell ref="C23:D23"/>
    <mergeCell ref="E22:F22"/>
    <mergeCell ref="E23:F23"/>
    <mergeCell ref="E19:F19"/>
    <mergeCell ref="E21:F21"/>
    <mergeCell ref="E20:F20"/>
    <mergeCell ref="A21:B21"/>
    <mergeCell ref="A18:B18"/>
    <mergeCell ref="A23:B23"/>
    <mergeCell ref="C14:D14"/>
    <mergeCell ref="E16:F16"/>
    <mergeCell ref="C16:D16"/>
    <mergeCell ref="E18:F18"/>
    <mergeCell ref="E13:F13"/>
    <mergeCell ref="C13:D13"/>
    <mergeCell ref="A13:B13"/>
    <mergeCell ref="A14:B14"/>
    <mergeCell ref="A22:B22"/>
    <mergeCell ref="C22:D22"/>
    <mergeCell ref="A20:B20"/>
    <mergeCell ref="C20:D20"/>
    <mergeCell ref="A17:B17"/>
    <mergeCell ref="K39:L39"/>
    <mergeCell ref="K38:L38"/>
    <mergeCell ref="M41:N41"/>
    <mergeCell ref="M38:N38"/>
    <mergeCell ref="M35:N35"/>
    <mergeCell ref="M34:N34"/>
    <mergeCell ref="M37:N37"/>
    <mergeCell ref="M36:N36"/>
    <mergeCell ref="K41:L41"/>
    <mergeCell ref="K40:L40"/>
    <mergeCell ref="K37:L37"/>
    <mergeCell ref="K36:L36"/>
    <mergeCell ref="M40:N40"/>
    <mergeCell ref="M39:N39"/>
    <mergeCell ref="A35:B35"/>
    <mergeCell ref="E35:F35"/>
    <mergeCell ref="G34:H34"/>
    <mergeCell ref="C37:D37"/>
    <mergeCell ref="C36:D36"/>
    <mergeCell ref="E37:F37"/>
    <mergeCell ref="A37:B37"/>
    <mergeCell ref="A36:B36"/>
    <mergeCell ref="K29:L29"/>
    <mergeCell ref="I37:J37"/>
    <mergeCell ref="I36:J36"/>
    <mergeCell ref="I34:J34"/>
    <mergeCell ref="C32:D32"/>
    <mergeCell ref="C30:D30"/>
    <mergeCell ref="C31:D31"/>
    <mergeCell ref="G31:H31"/>
    <mergeCell ref="E32:F32"/>
    <mergeCell ref="G32:H32"/>
    <mergeCell ref="G36:H36"/>
    <mergeCell ref="G37:H37"/>
    <mergeCell ref="E31:F31"/>
    <mergeCell ref="M49:N49"/>
    <mergeCell ref="K49:L49"/>
    <mergeCell ref="I49:J49"/>
    <mergeCell ref="K48:L48"/>
    <mergeCell ref="I48:J48"/>
    <mergeCell ref="M45:N45"/>
    <mergeCell ref="M44:N44"/>
    <mergeCell ref="M43:N43"/>
    <mergeCell ref="K43:L43"/>
    <mergeCell ref="K44:L44"/>
    <mergeCell ref="K45:L45"/>
    <mergeCell ref="I46:J46"/>
    <mergeCell ref="M48:N48"/>
    <mergeCell ref="M46:N46"/>
    <mergeCell ref="M47:N47"/>
    <mergeCell ref="K47:L47"/>
    <mergeCell ref="I47:J47"/>
    <mergeCell ref="K46:L46"/>
    <mergeCell ref="I43:J43"/>
    <mergeCell ref="I44:J44"/>
    <mergeCell ref="I45:J45"/>
    <mergeCell ref="G46:H46"/>
    <mergeCell ref="E48:F48"/>
    <mergeCell ref="C48:D48"/>
    <mergeCell ref="C47:D47"/>
    <mergeCell ref="C44:D44"/>
    <mergeCell ref="G43:H43"/>
    <mergeCell ref="C26:D26"/>
    <mergeCell ref="C46:D46"/>
    <mergeCell ref="C45:D45"/>
    <mergeCell ref="E46:F46"/>
    <mergeCell ref="G48:H48"/>
    <mergeCell ref="G47:H47"/>
    <mergeCell ref="C41:D41"/>
    <mergeCell ref="E41:F41"/>
    <mergeCell ref="G41:H41"/>
    <mergeCell ref="C35:D35"/>
    <mergeCell ref="C34:D34"/>
    <mergeCell ref="E36:F36"/>
    <mergeCell ref="E34:F34"/>
    <mergeCell ref="E47:F47"/>
    <mergeCell ref="E49:F49"/>
    <mergeCell ref="C49:D49"/>
    <mergeCell ref="G45:H45"/>
    <mergeCell ref="G44:H44"/>
    <mergeCell ref="I41:J41"/>
    <mergeCell ref="I39:J39"/>
    <mergeCell ref="I38:J38"/>
    <mergeCell ref="I40:J40"/>
    <mergeCell ref="C27:D27"/>
    <mergeCell ref="E27:F27"/>
    <mergeCell ref="E45:F45"/>
    <mergeCell ref="E44:F44"/>
    <mergeCell ref="G49:H49"/>
    <mergeCell ref="C43:D43"/>
    <mergeCell ref="E43:F43"/>
    <mergeCell ref="E38:F38"/>
    <mergeCell ref="C38:D38"/>
    <mergeCell ref="C40:D40"/>
    <mergeCell ref="C39:D39"/>
    <mergeCell ref="G39:H39"/>
    <mergeCell ref="G40:H40"/>
    <mergeCell ref="G38:H38"/>
    <mergeCell ref="E39:F39"/>
    <mergeCell ref="E40:F40"/>
  </mergeCells>
  <printOptions horizontalCentered="1" gridLines="1"/>
  <pageMargins left="0.5" right="0.5" top="0.25" bottom="0.25" header="0" footer="0"/>
  <pageSetup scale="80" pageOrder="overThenDown" orientation="portrait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  <pageSetUpPr fitToPage="1"/>
  </sheetPr>
  <dimension ref="A1:N58"/>
  <sheetViews>
    <sheetView showGridLines="0" topLeftCell="A10" workbookViewId="0">
      <selection activeCell="A37" sqref="A37:J37"/>
    </sheetView>
  </sheetViews>
  <sheetFormatPr defaultColWidth="12.5703125" defaultRowHeight="12.75" customHeight="1"/>
  <cols>
    <col min="1" max="1" width="3.85546875" customWidth="1"/>
    <col min="2" max="2" width="13.42578125" customWidth="1"/>
    <col min="3" max="3" width="3.85546875" customWidth="1"/>
    <col min="4" max="4" width="13.42578125" customWidth="1"/>
    <col min="5" max="5" width="3.85546875" customWidth="1"/>
    <col min="6" max="6" width="13.42578125" customWidth="1"/>
    <col min="7" max="7" width="3.85546875" customWidth="1"/>
    <col min="8" max="8" width="13.42578125" customWidth="1"/>
    <col min="9" max="9" width="3.85546875" customWidth="1"/>
    <col min="10" max="10" width="16.85546875" customWidth="1"/>
    <col min="11" max="11" width="3.85546875" customWidth="1"/>
    <col min="12" max="12" width="13.42578125" customWidth="1"/>
    <col min="13" max="13" width="3.85546875" customWidth="1"/>
    <col min="14" max="14" width="13.42578125" customWidth="1"/>
  </cols>
  <sheetData>
    <row r="1" spans="1:14" ht="18" customHeight="1">
      <c r="A1" s="36">
        <f>EDATE('©'!A17,43)</f>
        <v>46419</v>
      </c>
      <c r="B1" s="37"/>
      <c r="C1" s="1"/>
      <c r="D1" s="1"/>
      <c r="E1" s="1"/>
      <c r="F1" s="1"/>
      <c r="G1" s="1"/>
      <c r="H1" s="1"/>
      <c r="I1" s="1"/>
      <c r="J1" s="1"/>
      <c r="K1" s="38" t="s">
        <v>0</v>
      </c>
      <c r="L1" s="37"/>
      <c r="M1" s="37"/>
      <c r="N1" s="37"/>
    </row>
    <row r="2" spans="1:14" ht="18" customHeight="1">
      <c r="A2" s="39" t="s">
        <v>166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1:14" ht="18" customHeight="1">
      <c r="A3" s="29" t="s">
        <v>167</v>
      </c>
      <c r="B3" s="37"/>
      <c r="C3" s="27" t="s">
        <v>168</v>
      </c>
      <c r="D3" s="37"/>
      <c r="E3" s="19" t="s">
        <v>169</v>
      </c>
      <c r="F3" s="37"/>
      <c r="G3" s="21" t="s">
        <v>170</v>
      </c>
      <c r="H3" s="37"/>
      <c r="I3" s="56" t="s">
        <v>171</v>
      </c>
      <c r="J3" s="37"/>
      <c r="K3" s="23" t="s">
        <v>172</v>
      </c>
      <c r="L3" s="37"/>
      <c r="M3" s="25" t="s">
        <v>173</v>
      </c>
      <c r="N3" s="37"/>
    </row>
    <row r="4" spans="1:14" ht="69" customHeight="1">
      <c r="A4" s="42" t="str">
        <f>UPPER(TEXT(A1,"mmmm yyyy"))</f>
        <v>FEBRUARY 2027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</row>
    <row r="5" spans="1:14" ht="18" customHeight="1">
      <c r="A5" s="40">
        <f>A15</f>
        <v>46426</v>
      </c>
      <c r="B5" s="41"/>
      <c r="C5" s="40">
        <f>C15</f>
        <v>46427</v>
      </c>
      <c r="D5" s="41"/>
      <c r="E5" s="40">
        <f>E15</f>
        <v>46428</v>
      </c>
      <c r="F5" s="41"/>
      <c r="G5" s="40">
        <f>G15</f>
        <v>46429</v>
      </c>
      <c r="H5" s="41"/>
      <c r="I5" s="40">
        <f>I15</f>
        <v>46430</v>
      </c>
      <c r="J5" s="41"/>
      <c r="K5" s="40">
        <f>K15</f>
        <v>46431</v>
      </c>
      <c r="L5" s="41"/>
      <c r="M5" s="40">
        <f>M15</f>
        <v>46432</v>
      </c>
      <c r="N5" s="41"/>
    </row>
    <row r="6" spans="1:14" ht="18" customHeight="1">
      <c r="A6" s="2">
        <f>IF(WEEKDAY($A$1,1)=startday,$A$1,"")</f>
        <v>46419</v>
      </c>
      <c r="B6" s="3"/>
      <c r="C6" s="2">
        <f>IF(A6="",IF(WEEKDAY($A$1,1)=MOD(startday,7)+1,$A$1,""),A6+1)</f>
        <v>46420</v>
      </c>
      <c r="D6" s="3"/>
      <c r="E6" s="2">
        <f>IF(C6="",IF(WEEKDAY($A$1,1)=MOD(startday,7)+2,$A$1,""),C6+1)</f>
        <v>46421</v>
      </c>
      <c r="F6" s="3"/>
      <c r="G6" s="2">
        <f>IF(E6="",IF(WEEKDAY($A$1,1)=MOD(startday,7)+3,$A$1,""),E6+1)</f>
        <v>46422</v>
      </c>
      <c r="H6" s="3"/>
      <c r="I6" s="2">
        <f>IF(G6="",IF(WEEKDAY($A$1,1)=MOD(startday,7)+4,$A$1,""),G6+1)</f>
        <v>46423</v>
      </c>
      <c r="J6" s="3"/>
      <c r="K6" s="4">
        <f>IF(I6="",IF(WEEKDAY($A$1,1)=MOD(startday,7)+5,$A$1,""),I6+1)</f>
        <v>46424</v>
      </c>
      <c r="L6" s="5"/>
      <c r="M6" s="4">
        <f>IF(K6="",IF(WEEKDAY($A$1,1)=MOD(startday+5,7)+1,$A$1,""),K6+1)</f>
        <v>46425</v>
      </c>
      <c r="N6" s="5"/>
    </row>
    <row r="7" spans="1:14" ht="18" customHeight="1">
      <c r="A7" s="29" t="s">
        <v>201</v>
      </c>
      <c r="B7" s="20"/>
      <c r="C7" s="29" t="s">
        <v>201</v>
      </c>
      <c r="D7" s="20"/>
      <c r="E7" s="29" t="s">
        <v>201</v>
      </c>
      <c r="F7" s="20"/>
      <c r="G7" s="29" t="s">
        <v>201</v>
      </c>
      <c r="H7" s="20"/>
      <c r="I7" s="29" t="s">
        <v>201</v>
      </c>
      <c r="J7" s="20"/>
      <c r="K7" s="29" t="s">
        <v>201</v>
      </c>
      <c r="L7" s="20"/>
      <c r="M7" s="29" t="s">
        <v>201</v>
      </c>
      <c r="N7" s="20"/>
    </row>
    <row r="8" spans="1:14" ht="18" customHeight="1">
      <c r="A8" s="27" t="s">
        <v>199</v>
      </c>
      <c r="B8" s="20"/>
      <c r="C8" s="27" t="s">
        <v>199</v>
      </c>
      <c r="D8" s="20"/>
      <c r="E8" s="27" t="s">
        <v>199</v>
      </c>
      <c r="F8" s="20"/>
      <c r="G8" s="27" t="s">
        <v>199</v>
      </c>
      <c r="H8" s="20"/>
      <c r="I8" s="27" t="s">
        <v>199</v>
      </c>
      <c r="J8" s="20"/>
      <c r="K8" s="26"/>
      <c r="L8" s="20"/>
      <c r="M8" s="26"/>
      <c r="N8" s="20"/>
    </row>
    <row r="9" spans="1:14" ht="18" customHeight="1">
      <c r="A9" s="19" t="s">
        <v>176</v>
      </c>
      <c r="B9" s="20"/>
      <c r="C9" s="19" t="s">
        <v>176</v>
      </c>
      <c r="D9" s="20"/>
      <c r="E9" s="19" t="s">
        <v>176</v>
      </c>
      <c r="F9" s="20"/>
      <c r="G9" s="19" t="s">
        <v>176</v>
      </c>
      <c r="H9" s="20"/>
      <c r="I9" s="19" t="s">
        <v>176</v>
      </c>
      <c r="J9" s="20"/>
      <c r="K9" s="19" t="s">
        <v>176</v>
      </c>
      <c r="L9" s="20"/>
      <c r="M9" s="19" t="s">
        <v>176</v>
      </c>
      <c r="N9" s="20"/>
    </row>
    <row r="10" spans="1:14" ht="18" customHeight="1">
      <c r="A10" s="21" t="s">
        <v>177</v>
      </c>
      <c r="B10" s="20"/>
      <c r="C10" s="21" t="s">
        <v>177</v>
      </c>
      <c r="D10" s="20"/>
      <c r="E10" s="21" t="s">
        <v>177</v>
      </c>
      <c r="F10" s="20"/>
      <c r="G10" s="21" t="s">
        <v>177</v>
      </c>
      <c r="H10" s="20"/>
      <c r="I10" s="21" t="s">
        <v>177</v>
      </c>
      <c r="J10" s="20"/>
      <c r="K10" s="30"/>
      <c r="L10" s="20"/>
      <c r="M10" s="30"/>
      <c r="N10" s="20"/>
    </row>
    <row r="11" spans="1:14" ht="18" customHeight="1">
      <c r="A11" s="56"/>
      <c r="B11" s="20"/>
      <c r="C11" s="57"/>
      <c r="D11" s="20"/>
      <c r="E11" s="56"/>
      <c r="F11" s="20"/>
      <c r="G11" s="56"/>
      <c r="H11" s="20"/>
      <c r="I11" s="56"/>
      <c r="J11" s="20"/>
      <c r="K11" s="56"/>
      <c r="L11" s="20"/>
      <c r="M11" s="56"/>
      <c r="N11" s="20"/>
    </row>
    <row r="12" spans="1:14" ht="18" customHeight="1">
      <c r="A12" s="23"/>
      <c r="B12" s="20"/>
      <c r="C12" s="22"/>
      <c r="D12" s="20"/>
      <c r="E12" s="23"/>
      <c r="F12" s="20"/>
      <c r="G12" s="22"/>
      <c r="H12" s="20"/>
      <c r="I12" s="22"/>
      <c r="J12" s="20"/>
      <c r="K12" s="22"/>
      <c r="L12" s="20"/>
      <c r="M12" s="22"/>
      <c r="N12" s="20"/>
    </row>
    <row r="13" spans="1:14" ht="18" customHeight="1">
      <c r="A13" s="25"/>
      <c r="B13" s="20"/>
      <c r="C13" s="25"/>
      <c r="D13" s="20"/>
      <c r="E13" s="25"/>
      <c r="F13" s="20"/>
      <c r="G13" s="25"/>
      <c r="H13" s="20"/>
      <c r="I13" s="25"/>
      <c r="J13" s="20"/>
      <c r="K13" s="25"/>
      <c r="L13" s="20"/>
      <c r="M13" s="25"/>
      <c r="N13" s="20"/>
    </row>
    <row r="14" spans="1:14" ht="18" customHeight="1">
      <c r="A14" s="58"/>
      <c r="B14" s="24"/>
      <c r="C14" s="58"/>
      <c r="D14" s="24"/>
      <c r="E14" s="58"/>
      <c r="F14" s="24"/>
      <c r="G14" s="58"/>
      <c r="H14" s="24"/>
      <c r="I14" s="58"/>
      <c r="J14" s="24"/>
      <c r="K14" s="58"/>
      <c r="L14" s="24"/>
      <c r="M14" s="58"/>
      <c r="N14" s="24"/>
    </row>
    <row r="15" spans="1:14" ht="18" customHeight="1">
      <c r="A15" s="2">
        <f>M6+1</f>
        <v>46426</v>
      </c>
      <c r="B15" s="3"/>
      <c r="C15" s="2">
        <f>A15+1</f>
        <v>46427</v>
      </c>
      <c r="D15" s="3"/>
      <c r="E15" s="2">
        <f>C15+1</f>
        <v>46428</v>
      </c>
      <c r="F15" s="3"/>
      <c r="G15" s="2">
        <f>E15+1</f>
        <v>46429</v>
      </c>
      <c r="H15" s="3"/>
      <c r="I15" s="2">
        <f>G15+1</f>
        <v>46430</v>
      </c>
      <c r="J15" s="3"/>
      <c r="K15" s="4">
        <f>I15+1</f>
        <v>46431</v>
      </c>
      <c r="L15" s="5"/>
      <c r="M15" s="4">
        <f>K15+1</f>
        <v>46432</v>
      </c>
      <c r="N15" s="5"/>
    </row>
    <row r="16" spans="1:14" ht="18" customHeight="1">
      <c r="A16" s="50" t="s">
        <v>175</v>
      </c>
      <c r="B16" s="51"/>
      <c r="C16" s="50" t="s">
        <v>175</v>
      </c>
      <c r="D16" s="51"/>
      <c r="E16" s="50" t="s">
        <v>175</v>
      </c>
      <c r="F16" s="51"/>
      <c r="G16" s="50" t="s">
        <v>175</v>
      </c>
      <c r="H16" s="51"/>
      <c r="I16" s="50" t="s">
        <v>175</v>
      </c>
      <c r="J16" s="51"/>
      <c r="K16" s="50" t="s">
        <v>175</v>
      </c>
      <c r="L16" s="51"/>
      <c r="M16" s="50" t="s">
        <v>175</v>
      </c>
      <c r="N16" s="51"/>
    </row>
    <row r="17" spans="1:14" ht="18" customHeight="1">
      <c r="A17" s="27" t="s">
        <v>205</v>
      </c>
      <c r="B17" s="28"/>
      <c r="C17" s="27" t="s">
        <v>205</v>
      </c>
      <c r="D17" s="28"/>
      <c r="E17" s="27" t="s">
        <v>205</v>
      </c>
      <c r="F17" s="28"/>
      <c r="G17" s="27" t="s">
        <v>205</v>
      </c>
      <c r="H17" s="28"/>
      <c r="I17" s="27" t="s">
        <v>205</v>
      </c>
      <c r="J17" s="28"/>
      <c r="K17" s="26"/>
      <c r="L17" s="20"/>
      <c r="M17" s="26"/>
      <c r="N17" s="20"/>
    </row>
    <row r="18" spans="1:14" ht="18" customHeight="1">
      <c r="A18" s="19" t="s">
        <v>206</v>
      </c>
      <c r="B18" s="20"/>
      <c r="C18" s="19" t="s">
        <v>206</v>
      </c>
      <c r="D18" s="20"/>
      <c r="E18" s="19" t="s">
        <v>206</v>
      </c>
      <c r="F18" s="20"/>
      <c r="G18" s="19" t="s">
        <v>206</v>
      </c>
      <c r="H18" s="20"/>
      <c r="I18" s="19" t="s">
        <v>206</v>
      </c>
      <c r="J18" s="20"/>
      <c r="K18" s="19" t="s">
        <v>206</v>
      </c>
      <c r="L18" s="20"/>
      <c r="M18" s="19" t="s">
        <v>206</v>
      </c>
      <c r="N18" s="20"/>
    </row>
    <row r="19" spans="1:14" ht="18" customHeight="1">
      <c r="A19" s="21" t="s">
        <v>187</v>
      </c>
      <c r="B19" s="20"/>
      <c r="C19" s="21" t="s">
        <v>187</v>
      </c>
      <c r="D19" s="20"/>
      <c r="E19" s="21" t="s">
        <v>187</v>
      </c>
      <c r="F19" s="20"/>
      <c r="G19" s="21" t="s">
        <v>187</v>
      </c>
      <c r="H19" s="20"/>
      <c r="I19" s="21" t="s">
        <v>187</v>
      </c>
      <c r="J19" s="20"/>
      <c r="K19" s="21"/>
      <c r="L19" s="20"/>
      <c r="M19" s="21"/>
      <c r="N19" s="20"/>
    </row>
    <row r="20" spans="1:14" ht="18" customHeight="1">
      <c r="A20" s="56"/>
      <c r="B20" s="20"/>
      <c r="C20" s="56"/>
      <c r="D20" s="20"/>
      <c r="E20" s="56"/>
      <c r="F20" s="20"/>
      <c r="G20" s="56"/>
      <c r="H20" s="20"/>
      <c r="I20" s="56"/>
      <c r="J20" s="20"/>
      <c r="K20" s="56"/>
      <c r="L20" s="20"/>
      <c r="M20" s="56"/>
      <c r="N20" s="20"/>
    </row>
    <row r="21" spans="1:14" ht="18" customHeight="1">
      <c r="A21" s="23"/>
      <c r="B21" s="20"/>
      <c r="C21" s="22"/>
      <c r="D21" s="20"/>
      <c r="E21" s="23"/>
      <c r="F21" s="20"/>
      <c r="G21" s="22"/>
      <c r="H21" s="20"/>
      <c r="I21" s="22"/>
      <c r="J21" s="20"/>
      <c r="K21" s="22"/>
      <c r="L21" s="20"/>
      <c r="M21" s="22"/>
      <c r="N21" s="20"/>
    </row>
    <row r="22" spans="1:14" ht="18" customHeight="1">
      <c r="A22" s="25"/>
      <c r="B22" s="20"/>
      <c r="C22" s="25"/>
      <c r="D22" s="20"/>
      <c r="E22" s="25"/>
      <c r="F22" s="20"/>
      <c r="G22" s="25"/>
      <c r="H22" s="20"/>
      <c r="I22" s="25"/>
      <c r="J22" s="20"/>
      <c r="K22" s="25"/>
      <c r="L22" s="20"/>
      <c r="M22" s="25"/>
      <c r="N22" s="20"/>
    </row>
    <row r="23" spans="1:14" ht="18" customHeight="1">
      <c r="A23" s="58"/>
      <c r="B23" s="24"/>
      <c r="C23" s="58"/>
      <c r="D23" s="24"/>
      <c r="E23" s="58"/>
      <c r="F23" s="24"/>
      <c r="G23" s="58"/>
      <c r="H23" s="24"/>
      <c r="I23" s="58"/>
      <c r="J23" s="24"/>
      <c r="K23" s="58"/>
      <c r="L23" s="24"/>
      <c r="M23" s="58"/>
      <c r="N23" s="24"/>
    </row>
    <row r="24" spans="1:14" ht="18" customHeight="1">
      <c r="A24" s="2">
        <f>M15+1</f>
        <v>46433</v>
      </c>
      <c r="B24" s="3"/>
      <c r="C24" s="2">
        <f>A24+1</f>
        <v>46434</v>
      </c>
      <c r="D24" s="3"/>
      <c r="E24" s="2">
        <f>C24+1</f>
        <v>46435</v>
      </c>
      <c r="F24" s="3"/>
      <c r="G24" s="2">
        <f>E24+1</f>
        <v>46436</v>
      </c>
      <c r="H24" s="3"/>
      <c r="I24" s="2">
        <f>G24+1</f>
        <v>46437</v>
      </c>
      <c r="J24" s="3"/>
      <c r="K24" s="4">
        <f>I24+1</f>
        <v>46438</v>
      </c>
      <c r="L24" s="5"/>
      <c r="M24" s="4">
        <f>K24+1</f>
        <v>46439</v>
      </c>
      <c r="N24" s="5"/>
    </row>
    <row r="25" spans="1:14" ht="18" customHeight="1">
      <c r="A25" s="29" t="s">
        <v>210</v>
      </c>
      <c r="B25" s="20"/>
      <c r="C25" s="29" t="s">
        <v>210</v>
      </c>
      <c r="D25" s="20"/>
      <c r="E25" s="29" t="s">
        <v>210</v>
      </c>
      <c r="F25" s="20"/>
      <c r="G25" s="29" t="s">
        <v>210</v>
      </c>
      <c r="H25" s="20"/>
      <c r="I25" s="29" t="s">
        <v>210</v>
      </c>
      <c r="J25" s="20"/>
      <c r="K25" s="29" t="s">
        <v>210</v>
      </c>
      <c r="L25" s="20"/>
      <c r="M25" s="29" t="s">
        <v>210</v>
      </c>
      <c r="N25" s="20"/>
    </row>
    <row r="26" spans="1:14" ht="18" customHeight="1">
      <c r="A26" s="27" t="s">
        <v>194</v>
      </c>
      <c r="B26" s="20"/>
      <c r="C26" s="27" t="s">
        <v>194</v>
      </c>
      <c r="D26" s="20"/>
      <c r="E26" s="27" t="s">
        <v>194</v>
      </c>
      <c r="F26" s="20"/>
      <c r="G26" s="27" t="s">
        <v>194</v>
      </c>
      <c r="H26" s="20"/>
      <c r="I26" s="27" t="s">
        <v>194</v>
      </c>
      <c r="J26" s="20"/>
      <c r="K26" s="26"/>
      <c r="L26" s="20"/>
      <c r="M26" s="26"/>
      <c r="N26" s="20"/>
    </row>
    <row r="27" spans="1:14" ht="18" customHeight="1">
      <c r="A27" s="19" t="s">
        <v>188</v>
      </c>
      <c r="B27" s="20"/>
      <c r="C27" s="19" t="s">
        <v>188</v>
      </c>
      <c r="D27" s="20"/>
      <c r="E27" s="19" t="s">
        <v>188</v>
      </c>
      <c r="F27" s="20"/>
      <c r="G27" s="19" t="s">
        <v>188</v>
      </c>
      <c r="H27" s="20"/>
      <c r="I27" s="19" t="s">
        <v>188</v>
      </c>
      <c r="J27" s="20"/>
      <c r="K27" s="19" t="s">
        <v>188</v>
      </c>
      <c r="L27" s="20"/>
      <c r="M27" s="19" t="s">
        <v>188</v>
      </c>
      <c r="N27" s="20"/>
    </row>
    <row r="28" spans="1:14" ht="18" customHeight="1">
      <c r="A28" s="21" t="s">
        <v>189</v>
      </c>
      <c r="B28" s="20"/>
      <c r="C28" s="21" t="s">
        <v>189</v>
      </c>
      <c r="D28" s="20"/>
      <c r="E28" s="21" t="s">
        <v>189</v>
      </c>
      <c r="F28" s="20"/>
      <c r="G28" s="21" t="s">
        <v>189</v>
      </c>
      <c r="H28" s="20"/>
      <c r="I28" s="21" t="s">
        <v>189</v>
      </c>
      <c r="J28" s="20"/>
      <c r="K28" s="21"/>
      <c r="L28" s="20"/>
      <c r="M28" s="21"/>
      <c r="N28" s="20"/>
    </row>
    <row r="29" spans="1:14" ht="18" customHeight="1">
      <c r="A29" s="56"/>
      <c r="B29" s="20"/>
      <c r="C29" s="56"/>
      <c r="D29" s="20"/>
      <c r="E29" s="56"/>
      <c r="F29" s="20"/>
      <c r="G29" s="56"/>
      <c r="H29" s="20"/>
      <c r="I29" s="56"/>
      <c r="J29" s="20"/>
      <c r="K29" s="56"/>
      <c r="L29" s="20"/>
      <c r="M29" s="56"/>
      <c r="N29" s="20"/>
    </row>
    <row r="30" spans="1:14" ht="18" customHeight="1">
      <c r="A30" s="23"/>
      <c r="B30" s="20"/>
      <c r="C30" s="22"/>
      <c r="D30" s="20"/>
      <c r="E30" s="23"/>
      <c r="F30" s="20"/>
      <c r="G30" s="22"/>
      <c r="H30" s="20"/>
      <c r="I30" s="22"/>
      <c r="J30" s="20"/>
      <c r="K30" s="22"/>
      <c r="L30" s="20"/>
      <c r="M30" s="22"/>
      <c r="N30" s="20"/>
    </row>
    <row r="31" spans="1:14" ht="18" customHeight="1">
      <c r="A31" s="25"/>
      <c r="B31" s="20"/>
      <c r="C31" s="25"/>
      <c r="D31" s="20"/>
      <c r="E31" s="25"/>
      <c r="F31" s="20"/>
      <c r="G31" s="25"/>
      <c r="H31" s="20"/>
      <c r="I31" s="25"/>
      <c r="J31" s="20"/>
      <c r="K31" s="25"/>
      <c r="L31" s="20"/>
      <c r="M31" s="25"/>
      <c r="N31" s="20"/>
    </row>
    <row r="32" spans="1:14" ht="18" customHeight="1">
      <c r="A32" s="58"/>
      <c r="B32" s="24"/>
      <c r="C32" s="58"/>
      <c r="D32" s="24"/>
      <c r="E32" s="58"/>
      <c r="F32" s="24"/>
      <c r="G32" s="58"/>
      <c r="H32" s="24"/>
      <c r="I32" s="58"/>
      <c r="J32" s="24"/>
      <c r="K32" s="58"/>
      <c r="L32" s="24"/>
      <c r="M32" s="58"/>
      <c r="N32" s="24"/>
    </row>
    <row r="33" spans="1:14" ht="18" customHeight="1">
      <c r="A33" s="2">
        <f>M24+1</f>
        <v>46440</v>
      </c>
      <c r="B33" s="3"/>
      <c r="C33" s="2">
        <f>A33+1</f>
        <v>46441</v>
      </c>
      <c r="D33" s="3"/>
      <c r="E33" s="2">
        <f>C33+1</f>
        <v>46442</v>
      </c>
      <c r="F33" s="3"/>
      <c r="G33" s="2">
        <f>E33+1</f>
        <v>46443</v>
      </c>
      <c r="H33" s="3"/>
      <c r="I33" s="2">
        <f>G33+1</f>
        <v>46444</v>
      </c>
      <c r="J33" s="3"/>
      <c r="K33" s="4">
        <f>I33+1</f>
        <v>46445</v>
      </c>
      <c r="L33" s="5"/>
      <c r="M33" s="4">
        <f>K33+1</f>
        <v>46446</v>
      </c>
      <c r="N33" s="5"/>
    </row>
    <row r="34" spans="1:14" ht="18" customHeight="1">
      <c r="A34" s="29" t="s">
        <v>199</v>
      </c>
      <c r="B34" s="20"/>
      <c r="C34" s="29" t="s">
        <v>199</v>
      </c>
      <c r="D34" s="20"/>
      <c r="E34" s="29" t="s">
        <v>199</v>
      </c>
      <c r="F34" s="20"/>
      <c r="G34" s="29" t="s">
        <v>199</v>
      </c>
      <c r="H34" s="20"/>
      <c r="I34" s="29" t="s">
        <v>199</v>
      </c>
      <c r="J34" s="20"/>
      <c r="K34" s="29" t="s">
        <v>199</v>
      </c>
      <c r="L34" s="20"/>
      <c r="M34" s="29" t="s">
        <v>199</v>
      </c>
      <c r="N34" s="20"/>
    </row>
    <row r="35" spans="1:14" ht="18" customHeight="1">
      <c r="A35" s="27" t="s">
        <v>210</v>
      </c>
      <c r="B35" s="20"/>
      <c r="C35" s="27" t="s">
        <v>210</v>
      </c>
      <c r="D35" s="20"/>
      <c r="E35" s="27" t="s">
        <v>210</v>
      </c>
      <c r="F35" s="20"/>
      <c r="G35" s="27" t="s">
        <v>210</v>
      </c>
      <c r="H35" s="20"/>
      <c r="I35" s="27" t="s">
        <v>210</v>
      </c>
      <c r="J35" s="20"/>
      <c r="K35" s="26"/>
      <c r="L35" s="20"/>
      <c r="M35" s="26"/>
      <c r="N35" s="20"/>
    </row>
    <row r="36" spans="1:14" ht="18" customHeight="1">
      <c r="A36" s="19" t="s">
        <v>177</v>
      </c>
      <c r="B36" s="20"/>
      <c r="C36" s="19" t="s">
        <v>177</v>
      </c>
      <c r="D36" s="20"/>
      <c r="E36" s="19" t="s">
        <v>177</v>
      </c>
      <c r="F36" s="20"/>
      <c r="G36" s="19" t="s">
        <v>177</v>
      </c>
      <c r="H36" s="20"/>
      <c r="I36" s="19" t="s">
        <v>177</v>
      </c>
      <c r="J36" s="20"/>
      <c r="K36" s="19" t="s">
        <v>177</v>
      </c>
      <c r="L36" s="20"/>
      <c r="M36" s="19" t="s">
        <v>177</v>
      </c>
      <c r="N36" s="20"/>
    </row>
    <row r="37" spans="1:14" ht="18" customHeight="1">
      <c r="A37" s="21" t="s">
        <v>202</v>
      </c>
      <c r="B37" s="20"/>
      <c r="C37" s="21" t="s">
        <v>202</v>
      </c>
      <c r="D37" s="20"/>
      <c r="E37" s="21" t="s">
        <v>202</v>
      </c>
      <c r="F37" s="20"/>
      <c r="G37" s="21" t="s">
        <v>202</v>
      </c>
      <c r="H37" s="20"/>
      <c r="I37" s="21" t="s">
        <v>202</v>
      </c>
      <c r="J37" s="20"/>
      <c r="K37" s="30"/>
      <c r="L37" s="20"/>
      <c r="M37" s="30"/>
      <c r="N37" s="20"/>
    </row>
    <row r="38" spans="1:14" ht="18" customHeight="1">
      <c r="A38" s="56"/>
      <c r="B38" s="20"/>
      <c r="C38" s="56"/>
      <c r="D38" s="20"/>
      <c r="E38" s="56"/>
      <c r="F38" s="20"/>
      <c r="G38" s="56"/>
      <c r="H38" s="20"/>
      <c r="I38" s="56"/>
      <c r="J38" s="20"/>
      <c r="K38" s="56"/>
      <c r="L38" s="20"/>
      <c r="M38" s="56"/>
      <c r="N38" s="20"/>
    </row>
    <row r="39" spans="1:14" ht="18" customHeight="1">
      <c r="A39" s="23"/>
      <c r="B39" s="20"/>
      <c r="C39" s="22"/>
      <c r="D39" s="20"/>
      <c r="E39" s="23"/>
      <c r="F39" s="20"/>
      <c r="G39" s="22"/>
      <c r="H39" s="20"/>
      <c r="I39" s="22"/>
      <c r="J39" s="20"/>
      <c r="K39" s="22"/>
      <c r="L39" s="20"/>
      <c r="M39" s="22"/>
      <c r="N39" s="20"/>
    </row>
    <row r="40" spans="1:14" ht="18" customHeight="1">
      <c r="A40" s="25"/>
      <c r="B40" s="20"/>
      <c r="C40" s="25"/>
      <c r="D40" s="20"/>
      <c r="E40" s="25"/>
      <c r="F40" s="20"/>
      <c r="G40" s="25"/>
      <c r="H40" s="20"/>
      <c r="I40" s="25"/>
      <c r="J40" s="20"/>
      <c r="K40" s="25"/>
      <c r="L40" s="20"/>
      <c r="M40" s="25"/>
      <c r="N40" s="20"/>
    </row>
    <row r="41" spans="1:14" ht="29.25" customHeight="1">
      <c r="A41" s="58"/>
      <c r="B41" s="24"/>
      <c r="C41" s="58"/>
      <c r="D41" s="24"/>
      <c r="E41" s="58"/>
      <c r="F41" s="24"/>
      <c r="G41" s="58"/>
      <c r="H41" s="24"/>
      <c r="I41" s="54"/>
      <c r="J41" s="24"/>
      <c r="K41" s="58"/>
      <c r="L41" s="24"/>
      <c r="M41" s="58"/>
      <c r="N41" s="24"/>
    </row>
    <row r="42" spans="1:14" ht="18" customHeight="1">
      <c r="A42" s="2" t="str">
        <f>IF(M33="","",IF(MONTH(M33+1)&lt;&gt;MONTH($A$1),"",M33+1))</f>
        <v/>
      </c>
      <c r="B42" s="3"/>
      <c r="C42" s="2" t="str">
        <f>IF(A42="","",IF(MONTH(A42+1)&lt;&gt;MONTH($A$1),"",A42+1))</f>
        <v/>
      </c>
      <c r="D42" s="3"/>
      <c r="E42" s="2"/>
      <c r="F42" s="3"/>
      <c r="G42" s="2"/>
      <c r="H42" s="3"/>
      <c r="I42" s="2"/>
      <c r="J42" s="3"/>
      <c r="K42" s="4"/>
      <c r="L42" s="5"/>
      <c r="M42" s="4"/>
      <c r="N42" s="5"/>
    </row>
    <row r="43" spans="1:14" ht="18" customHeight="1">
      <c r="A43" s="29"/>
      <c r="B43" s="20"/>
      <c r="C43" s="29"/>
      <c r="D43" s="20"/>
      <c r="E43" s="29"/>
      <c r="F43" s="20"/>
      <c r="G43" s="29"/>
      <c r="H43" s="20"/>
      <c r="I43" s="29"/>
      <c r="J43" s="20"/>
      <c r="K43" s="29"/>
      <c r="L43" s="20"/>
      <c r="M43" s="29"/>
      <c r="N43" s="20"/>
    </row>
    <row r="44" spans="1:14" ht="18" customHeight="1">
      <c r="A44" s="27"/>
      <c r="B44" s="20"/>
      <c r="C44" s="27"/>
      <c r="D44" s="20"/>
      <c r="E44" s="27"/>
      <c r="F44" s="20"/>
      <c r="G44" s="27"/>
      <c r="H44" s="20"/>
      <c r="I44" s="27"/>
      <c r="J44" s="20"/>
      <c r="K44" s="26"/>
      <c r="L44" s="20"/>
      <c r="M44" s="26"/>
      <c r="N44" s="20"/>
    </row>
    <row r="45" spans="1:14" ht="18" customHeight="1">
      <c r="A45" s="19"/>
      <c r="B45" s="20"/>
      <c r="C45" s="19"/>
      <c r="D45" s="20"/>
      <c r="E45" s="19"/>
      <c r="F45" s="20"/>
      <c r="G45" s="19"/>
      <c r="H45" s="20"/>
      <c r="I45" s="19"/>
      <c r="J45" s="20"/>
      <c r="K45" s="19"/>
      <c r="L45" s="20"/>
      <c r="M45" s="19"/>
      <c r="N45" s="20"/>
    </row>
    <row r="46" spans="1:14" ht="18" customHeight="1">
      <c r="A46" s="21"/>
      <c r="B46" s="20"/>
      <c r="C46" s="21"/>
      <c r="D46" s="20"/>
      <c r="E46" s="21"/>
      <c r="F46" s="20"/>
      <c r="G46" s="21"/>
      <c r="H46" s="20"/>
      <c r="I46" s="21"/>
      <c r="J46" s="20"/>
      <c r="K46" s="30"/>
      <c r="L46" s="20"/>
      <c r="M46" s="30"/>
      <c r="N46" s="20"/>
    </row>
    <row r="47" spans="1:14" ht="18" customHeight="1">
      <c r="A47" s="56"/>
      <c r="B47" s="20"/>
      <c r="C47" s="56"/>
      <c r="D47" s="20"/>
      <c r="E47" s="56"/>
      <c r="F47" s="20"/>
      <c r="G47" s="56"/>
      <c r="H47" s="20"/>
      <c r="I47" s="56"/>
      <c r="J47" s="20"/>
      <c r="K47" s="57"/>
      <c r="L47" s="20"/>
      <c r="M47" s="57"/>
      <c r="N47" s="20"/>
    </row>
    <row r="48" spans="1:14" ht="18" customHeight="1">
      <c r="A48" s="23"/>
      <c r="B48" s="20"/>
      <c r="C48" s="22"/>
      <c r="D48" s="20"/>
      <c r="E48" s="23"/>
      <c r="F48" s="20"/>
      <c r="G48" s="22"/>
      <c r="H48" s="20"/>
      <c r="I48" s="22"/>
      <c r="J48" s="20"/>
      <c r="K48" s="22"/>
      <c r="L48" s="20"/>
      <c r="M48" s="22"/>
      <c r="N48" s="20"/>
    </row>
    <row r="49" spans="1:14" ht="18" customHeight="1">
      <c r="A49" s="25"/>
      <c r="B49" s="20"/>
      <c r="C49" s="25"/>
      <c r="D49" s="20"/>
      <c r="E49" s="25"/>
      <c r="F49" s="20"/>
      <c r="G49" s="25"/>
      <c r="H49" s="20"/>
      <c r="I49" s="25"/>
      <c r="J49" s="20"/>
      <c r="K49" s="25"/>
      <c r="L49" s="20"/>
      <c r="M49" s="25"/>
      <c r="N49" s="20"/>
    </row>
    <row r="50" spans="1:14" ht="18" customHeight="1">
      <c r="A50" s="58"/>
      <c r="B50" s="24"/>
      <c r="C50" s="58"/>
      <c r="D50" s="24"/>
      <c r="E50" s="58"/>
      <c r="F50" s="24"/>
      <c r="G50" s="58"/>
      <c r="H50" s="24"/>
      <c r="I50" s="58"/>
      <c r="J50" s="24"/>
      <c r="K50" s="58"/>
      <c r="L50" s="24"/>
      <c r="M50" s="58"/>
      <c r="N50" s="24"/>
    </row>
    <row r="51" spans="1:14" ht="18" customHeight="1">
      <c r="A51" s="2"/>
      <c r="B51" s="3"/>
      <c r="C51" s="2"/>
      <c r="D51" s="3"/>
      <c r="E51" s="46" t="s">
        <v>22</v>
      </c>
      <c r="F51" s="47"/>
      <c r="G51" s="48"/>
      <c r="H51" s="47"/>
      <c r="I51" s="47"/>
      <c r="J51" s="47"/>
      <c r="K51" s="47"/>
      <c r="L51" s="47"/>
      <c r="M51" s="47"/>
      <c r="N51" s="49"/>
    </row>
    <row r="52" spans="1:14" ht="18" customHeight="1">
      <c r="A52" s="29"/>
      <c r="B52" s="20"/>
      <c r="C52" s="44"/>
      <c r="D52" s="20"/>
      <c r="E52" s="45"/>
      <c r="F52" s="37"/>
      <c r="G52" s="37"/>
      <c r="H52" s="37"/>
      <c r="I52" s="37"/>
      <c r="J52" s="37"/>
      <c r="K52" s="37"/>
      <c r="L52" s="37"/>
      <c r="M52" s="37"/>
      <c r="N52" s="20"/>
    </row>
    <row r="53" spans="1:14" ht="18" customHeight="1">
      <c r="A53" s="27"/>
      <c r="B53" s="20"/>
      <c r="C53" s="26"/>
      <c r="D53" s="20"/>
      <c r="E53" s="45"/>
      <c r="F53" s="37"/>
      <c r="G53" s="37"/>
      <c r="H53" s="37"/>
      <c r="I53" s="37"/>
      <c r="J53" s="37"/>
      <c r="K53" s="37"/>
      <c r="L53" s="37"/>
      <c r="M53" s="37"/>
      <c r="N53" s="20"/>
    </row>
    <row r="54" spans="1:14" ht="18" customHeight="1">
      <c r="A54" s="19"/>
      <c r="B54" s="20"/>
      <c r="C54" s="35"/>
      <c r="D54" s="20"/>
      <c r="E54" s="45"/>
      <c r="F54" s="37"/>
      <c r="G54" s="37"/>
      <c r="H54" s="37"/>
      <c r="I54" s="37"/>
      <c r="J54" s="37"/>
      <c r="K54" s="37"/>
      <c r="L54" s="37"/>
      <c r="M54" s="37"/>
      <c r="N54" s="20"/>
    </row>
    <row r="55" spans="1:14" ht="18" customHeight="1">
      <c r="A55" s="21"/>
      <c r="B55" s="20"/>
      <c r="C55" s="30"/>
      <c r="D55" s="20"/>
      <c r="E55" s="6"/>
      <c r="F55" s="7"/>
      <c r="G55" s="7"/>
      <c r="H55" s="7"/>
      <c r="I55" s="7"/>
      <c r="J55" s="7"/>
      <c r="K55" s="7"/>
      <c r="L55" s="7"/>
      <c r="M55" s="7"/>
      <c r="N55" s="8"/>
    </row>
    <row r="56" spans="1:14" ht="18" customHeight="1">
      <c r="A56" s="56"/>
      <c r="B56" s="20"/>
      <c r="C56" s="57"/>
      <c r="D56" s="20"/>
      <c r="E56" s="6"/>
      <c r="F56" s="7"/>
      <c r="G56" s="7"/>
      <c r="H56" s="7"/>
      <c r="I56" s="7"/>
      <c r="J56" s="7"/>
      <c r="K56" s="7"/>
      <c r="L56" s="7"/>
      <c r="M56" s="7"/>
      <c r="N56" s="8"/>
    </row>
    <row r="57" spans="1:14" ht="18" customHeight="1">
      <c r="A57" s="23"/>
      <c r="B57" s="20"/>
      <c r="C57" s="22"/>
      <c r="D57" s="20"/>
      <c r="E57" s="6"/>
      <c r="F57" s="7"/>
      <c r="G57" s="7"/>
      <c r="H57" s="7"/>
      <c r="I57" s="7"/>
      <c r="J57" s="7"/>
      <c r="K57" s="7"/>
      <c r="L57" s="7"/>
      <c r="M57" s="7"/>
      <c r="N57" s="8"/>
    </row>
    <row r="58" spans="1:14" ht="18" customHeight="1">
      <c r="A58" s="25"/>
      <c r="B58" s="20"/>
      <c r="C58" s="31"/>
      <c r="D58" s="24"/>
      <c r="E58" s="32" t="s">
        <v>23</v>
      </c>
      <c r="F58" s="33"/>
      <c r="G58" s="33"/>
      <c r="H58" s="33"/>
      <c r="I58" s="34" t="str">
        <f>HYPERLINK("https://www.vertex42.com/calendars/academic-calendar.html","https://www.vertex42.com/calendars/academic-calendar.html")</f>
        <v>https://www.vertex42.com/calendars/academic-calendar.html</v>
      </c>
      <c r="J58" s="33"/>
      <c r="K58" s="33"/>
      <c r="L58" s="33"/>
      <c r="M58" s="33"/>
      <c r="N58" s="24"/>
    </row>
  </sheetData>
  <mergeCells count="319">
    <mergeCell ref="A26:B26"/>
    <mergeCell ref="A23:B23"/>
    <mergeCell ref="A25:B25"/>
    <mergeCell ref="C34:D34"/>
    <mergeCell ref="C22:D22"/>
    <mergeCell ref="E14:F14"/>
    <mergeCell ref="E19:F19"/>
    <mergeCell ref="E21:F21"/>
    <mergeCell ref="E20:F20"/>
    <mergeCell ref="E18:F18"/>
    <mergeCell ref="A29:B29"/>
    <mergeCell ref="A31:B31"/>
    <mergeCell ref="E27:F27"/>
    <mergeCell ref="E28:F28"/>
    <mergeCell ref="A19:B19"/>
    <mergeCell ref="A18:B18"/>
    <mergeCell ref="C20:D20"/>
    <mergeCell ref="C17:D17"/>
    <mergeCell ref="C21:D21"/>
    <mergeCell ref="A22:B22"/>
    <mergeCell ref="A21:B21"/>
    <mergeCell ref="C18:D18"/>
    <mergeCell ref="C19:D19"/>
    <mergeCell ref="A20:B20"/>
    <mergeCell ref="G21:H21"/>
    <mergeCell ref="I49:J49"/>
    <mergeCell ref="K48:L48"/>
    <mergeCell ref="M48:N48"/>
    <mergeCell ref="K46:L46"/>
    <mergeCell ref="M45:N45"/>
    <mergeCell ref="M26:N26"/>
    <mergeCell ref="M25:N25"/>
    <mergeCell ref="E23:F23"/>
    <mergeCell ref="E25:F25"/>
    <mergeCell ref="G31:H31"/>
    <mergeCell ref="G22:H22"/>
    <mergeCell ref="E30:F30"/>
    <mergeCell ref="E29:F29"/>
    <mergeCell ref="G28:H28"/>
    <mergeCell ref="G27:H27"/>
    <mergeCell ref="I27:J27"/>
    <mergeCell ref="I26:J26"/>
    <mergeCell ref="I25:J25"/>
    <mergeCell ref="G26:H26"/>
    <mergeCell ref="G25:H25"/>
    <mergeCell ref="G37:H37"/>
    <mergeCell ref="G39:H39"/>
    <mergeCell ref="I30:J30"/>
    <mergeCell ref="K25:L25"/>
    <mergeCell ref="G30:H30"/>
    <mergeCell ref="E54:N54"/>
    <mergeCell ref="G44:H44"/>
    <mergeCell ref="G40:H40"/>
    <mergeCell ref="G38:H38"/>
    <mergeCell ref="G32:H32"/>
    <mergeCell ref="E52:N52"/>
    <mergeCell ref="G51:N51"/>
    <mergeCell ref="I31:J31"/>
    <mergeCell ref="M35:N35"/>
    <mergeCell ref="M34:N34"/>
    <mergeCell ref="M37:N37"/>
    <mergeCell ref="M36:N36"/>
    <mergeCell ref="M31:N31"/>
    <mergeCell ref="M30:N30"/>
    <mergeCell ref="M32:N32"/>
    <mergeCell ref="M27:N27"/>
    <mergeCell ref="M28:N28"/>
    <mergeCell ref="M29:N29"/>
    <mergeCell ref="K26:L26"/>
    <mergeCell ref="K27:L27"/>
    <mergeCell ref="K28:L28"/>
    <mergeCell ref="K32:L32"/>
    <mergeCell ref="C27:D27"/>
    <mergeCell ref="E34:F34"/>
    <mergeCell ref="E35:F35"/>
    <mergeCell ref="E31:F31"/>
    <mergeCell ref="I46:J46"/>
    <mergeCell ref="I47:J47"/>
    <mergeCell ref="I45:J45"/>
    <mergeCell ref="G45:H45"/>
    <mergeCell ref="G43:H43"/>
    <mergeCell ref="I39:J39"/>
    <mergeCell ref="I38:J38"/>
    <mergeCell ref="I32:J32"/>
    <mergeCell ref="E32:F32"/>
    <mergeCell ref="I35:J35"/>
    <mergeCell ref="G35:H35"/>
    <mergeCell ref="E47:F47"/>
    <mergeCell ref="G46:H46"/>
    <mergeCell ref="K34:L34"/>
    <mergeCell ref="I34:J34"/>
    <mergeCell ref="G34:H34"/>
    <mergeCell ref="E45:F45"/>
    <mergeCell ref="C41:D41"/>
    <mergeCell ref="C43:D43"/>
    <mergeCell ref="C46:D46"/>
    <mergeCell ref="C45:D45"/>
    <mergeCell ref="E46:F46"/>
    <mergeCell ref="E41:F41"/>
    <mergeCell ref="C39:D39"/>
    <mergeCell ref="I36:J36"/>
    <mergeCell ref="K36:L36"/>
    <mergeCell ref="K38:L38"/>
    <mergeCell ref="G36:H36"/>
    <mergeCell ref="I40:J40"/>
    <mergeCell ref="K40:L40"/>
    <mergeCell ref="E39:F39"/>
    <mergeCell ref="K45:L45"/>
    <mergeCell ref="C35:D35"/>
    <mergeCell ref="E48:F48"/>
    <mergeCell ref="A55:B55"/>
    <mergeCell ref="A43:B43"/>
    <mergeCell ref="A44:B44"/>
    <mergeCell ref="A48:B48"/>
    <mergeCell ref="A45:B45"/>
    <mergeCell ref="A41:B41"/>
    <mergeCell ref="A47:B47"/>
    <mergeCell ref="A46:B46"/>
    <mergeCell ref="C53:D53"/>
    <mergeCell ref="C52:D52"/>
    <mergeCell ref="E53:N53"/>
    <mergeCell ref="C48:D48"/>
    <mergeCell ref="C47:D47"/>
    <mergeCell ref="I50:J50"/>
    <mergeCell ref="I48:J48"/>
    <mergeCell ref="G48:H48"/>
    <mergeCell ref="I41:J41"/>
    <mergeCell ref="K41:L41"/>
    <mergeCell ref="M47:N47"/>
    <mergeCell ref="K47:L47"/>
    <mergeCell ref="G41:H41"/>
    <mergeCell ref="G47:H47"/>
    <mergeCell ref="M49:N49"/>
    <mergeCell ref="G10:H10"/>
    <mergeCell ref="G20:H20"/>
    <mergeCell ref="G18:H18"/>
    <mergeCell ref="G19:H19"/>
    <mergeCell ref="A12:B12"/>
    <mergeCell ref="A11:B11"/>
    <mergeCell ref="C11:D11"/>
    <mergeCell ref="C10:D10"/>
    <mergeCell ref="G23:H23"/>
    <mergeCell ref="C23:D23"/>
    <mergeCell ref="E17:F17"/>
    <mergeCell ref="A16:B16"/>
    <mergeCell ref="E16:F16"/>
    <mergeCell ref="C16:D16"/>
    <mergeCell ref="G16:H16"/>
    <mergeCell ref="G17:H17"/>
    <mergeCell ref="E10:F10"/>
    <mergeCell ref="E13:F13"/>
    <mergeCell ref="C13:D13"/>
    <mergeCell ref="A13:B13"/>
    <mergeCell ref="A14:B14"/>
    <mergeCell ref="E12:F12"/>
    <mergeCell ref="C14:D14"/>
    <mergeCell ref="G14:H14"/>
    <mergeCell ref="A17:B17"/>
    <mergeCell ref="A7:B7"/>
    <mergeCell ref="A5:B5"/>
    <mergeCell ref="C5:D5"/>
    <mergeCell ref="E5:F5"/>
    <mergeCell ref="A10:B10"/>
    <mergeCell ref="A8:B8"/>
    <mergeCell ref="A9:B9"/>
    <mergeCell ref="C12:D12"/>
    <mergeCell ref="E11:F11"/>
    <mergeCell ref="K1:N1"/>
    <mergeCell ref="A2:N2"/>
    <mergeCell ref="A1:B1"/>
    <mergeCell ref="G3:H3"/>
    <mergeCell ref="I3:J3"/>
    <mergeCell ref="C3:D3"/>
    <mergeCell ref="A3:B3"/>
    <mergeCell ref="E3:F3"/>
    <mergeCell ref="M3:N3"/>
    <mergeCell ref="K3:L3"/>
    <mergeCell ref="A4:N4"/>
    <mergeCell ref="M7:N7"/>
    <mergeCell ref="K7:L7"/>
    <mergeCell ref="M5:N5"/>
    <mergeCell ref="K5:L5"/>
    <mergeCell ref="G9:H9"/>
    <mergeCell ref="C7:D7"/>
    <mergeCell ref="E7:F7"/>
    <mergeCell ref="G8:H8"/>
    <mergeCell ref="G7:H7"/>
    <mergeCell ref="C9:D9"/>
    <mergeCell ref="C8:D8"/>
    <mergeCell ref="G5:H5"/>
    <mergeCell ref="E9:F9"/>
    <mergeCell ref="E8:F8"/>
    <mergeCell ref="M10:N10"/>
    <mergeCell ref="I10:J10"/>
    <mergeCell ref="K10:L10"/>
    <mergeCell ref="K9:L9"/>
    <mergeCell ref="K8:L8"/>
    <mergeCell ref="I9:J9"/>
    <mergeCell ref="I5:J5"/>
    <mergeCell ref="I8:J8"/>
    <mergeCell ref="I7:J7"/>
    <mergeCell ref="M8:N8"/>
    <mergeCell ref="M9:N9"/>
    <mergeCell ref="M13:N13"/>
    <mergeCell ref="I13:J13"/>
    <mergeCell ref="K11:L11"/>
    <mergeCell ref="I11:J11"/>
    <mergeCell ref="I12:J12"/>
    <mergeCell ref="K12:L12"/>
    <mergeCell ref="M11:N11"/>
    <mergeCell ref="M12:N12"/>
    <mergeCell ref="C38:D38"/>
    <mergeCell ref="C37:D37"/>
    <mergeCell ref="C36:D36"/>
    <mergeCell ref="K13:L13"/>
    <mergeCell ref="I17:J17"/>
    <mergeCell ref="K14:L14"/>
    <mergeCell ref="I14:J14"/>
    <mergeCell ref="G13:H13"/>
    <mergeCell ref="C26:D26"/>
    <mergeCell ref="E26:F26"/>
    <mergeCell ref="G12:H12"/>
    <mergeCell ref="G11:H11"/>
    <mergeCell ref="E22:F22"/>
    <mergeCell ref="M14:N14"/>
    <mergeCell ref="G29:H29"/>
    <mergeCell ref="I29:J29"/>
    <mergeCell ref="K49:L49"/>
    <mergeCell ref="M46:N46"/>
    <mergeCell ref="M22:N22"/>
    <mergeCell ref="K23:L23"/>
    <mergeCell ref="M23:N23"/>
    <mergeCell ref="I16:J16"/>
    <mergeCell ref="M16:N16"/>
    <mergeCell ref="K19:L19"/>
    <mergeCell ref="M20:N20"/>
    <mergeCell ref="K18:L18"/>
    <mergeCell ref="I21:J21"/>
    <mergeCell ref="I22:J22"/>
    <mergeCell ref="I23:J23"/>
    <mergeCell ref="M21:N21"/>
    <mergeCell ref="M18:N18"/>
    <mergeCell ref="M19:N19"/>
    <mergeCell ref="K17:L17"/>
    <mergeCell ref="K20:L20"/>
    <mergeCell ref="K21:L21"/>
    <mergeCell ref="M17:N17"/>
    <mergeCell ref="K16:L16"/>
    <mergeCell ref="K22:L22"/>
    <mergeCell ref="I20:J20"/>
    <mergeCell ref="I18:J18"/>
    <mergeCell ref="I19:J19"/>
    <mergeCell ref="K30:L30"/>
    <mergeCell ref="K31:L31"/>
    <mergeCell ref="K29:L29"/>
    <mergeCell ref="I28:J28"/>
    <mergeCell ref="K39:L39"/>
    <mergeCell ref="A37:B37"/>
    <mergeCell ref="A40:B40"/>
    <mergeCell ref="A38:B38"/>
    <mergeCell ref="A39:B39"/>
    <mergeCell ref="A36:B36"/>
    <mergeCell ref="C25:D25"/>
    <mergeCell ref="A32:B32"/>
    <mergeCell ref="A30:B30"/>
    <mergeCell ref="A34:B34"/>
    <mergeCell ref="A35:B35"/>
    <mergeCell ref="C28:D28"/>
    <mergeCell ref="C29:D29"/>
    <mergeCell ref="C32:D32"/>
    <mergeCell ref="C30:D30"/>
    <mergeCell ref="C31:D31"/>
    <mergeCell ref="A27:B27"/>
    <mergeCell ref="A28:B28"/>
    <mergeCell ref="K35:L35"/>
    <mergeCell ref="M38:N38"/>
    <mergeCell ref="E44:F44"/>
    <mergeCell ref="C44:D44"/>
    <mergeCell ref="I37:J37"/>
    <mergeCell ref="K37:L37"/>
    <mergeCell ref="E36:F36"/>
    <mergeCell ref="E38:F38"/>
    <mergeCell ref="C40:D40"/>
    <mergeCell ref="E40:F40"/>
    <mergeCell ref="E37:F37"/>
    <mergeCell ref="M44:N44"/>
    <mergeCell ref="M43:N43"/>
    <mergeCell ref="K43:L43"/>
    <mergeCell ref="K44:L44"/>
    <mergeCell ref="I43:J43"/>
    <mergeCell ref="I44:J44"/>
    <mergeCell ref="M40:N40"/>
    <mergeCell ref="M39:N39"/>
    <mergeCell ref="M41:N41"/>
    <mergeCell ref="E43:F43"/>
    <mergeCell ref="E58:H58"/>
    <mergeCell ref="I58:N58"/>
    <mergeCell ref="C58:D58"/>
    <mergeCell ref="C54:D54"/>
    <mergeCell ref="C55:D55"/>
    <mergeCell ref="A57:B57"/>
    <mergeCell ref="A56:B56"/>
    <mergeCell ref="A53:B53"/>
    <mergeCell ref="C49:D49"/>
    <mergeCell ref="C50:D50"/>
    <mergeCell ref="G50:H50"/>
    <mergeCell ref="G49:H49"/>
    <mergeCell ref="M50:N50"/>
    <mergeCell ref="E50:F50"/>
    <mergeCell ref="E49:F49"/>
    <mergeCell ref="E51:F51"/>
    <mergeCell ref="C56:D56"/>
    <mergeCell ref="C57:D57"/>
    <mergeCell ref="A49:B49"/>
    <mergeCell ref="A52:B52"/>
    <mergeCell ref="A58:B58"/>
    <mergeCell ref="A54:B54"/>
    <mergeCell ref="A50:B50"/>
    <mergeCell ref="K50:L50"/>
  </mergeCells>
  <printOptions horizontalCentered="1" gridLines="1"/>
  <pageMargins left="0.5" right="0.5" top="0.25" bottom="0.25" header="0" footer="0"/>
  <pageSetup scale="80" pageOrder="overThenDown" orientation="portrait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  <pageSetUpPr fitToPage="1"/>
  </sheetPr>
  <dimension ref="A1:N58"/>
  <sheetViews>
    <sheetView showGridLines="0" topLeftCell="A6" workbookViewId="0">
      <selection activeCell="M43" sqref="M43:N43"/>
    </sheetView>
  </sheetViews>
  <sheetFormatPr defaultColWidth="12.5703125" defaultRowHeight="12.75" customHeight="1"/>
  <cols>
    <col min="1" max="1" width="3.85546875" customWidth="1"/>
    <col min="2" max="2" width="13.42578125" customWidth="1"/>
    <col min="3" max="3" width="3.85546875" customWidth="1"/>
    <col min="4" max="4" width="13.42578125" customWidth="1"/>
    <col min="5" max="5" width="3.85546875" customWidth="1"/>
    <col min="6" max="6" width="13.42578125" customWidth="1"/>
    <col min="7" max="7" width="3.85546875" customWidth="1"/>
    <col min="8" max="8" width="13.42578125" customWidth="1"/>
    <col min="9" max="9" width="3.85546875" customWidth="1"/>
    <col min="10" max="10" width="15.42578125" customWidth="1"/>
    <col min="11" max="11" width="3.85546875" customWidth="1"/>
    <col min="12" max="12" width="13.42578125" customWidth="1"/>
    <col min="13" max="13" width="3.85546875" customWidth="1"/>
    <col min="14" max="14" width="13.42578125" customWidth="1"/>
  </cols>
  <sheetData>
    <row r="1" spans="1:14" ht="18" customHeight="1">
      <c r="A1" s="36">
        <f>EDATE('©'!A17,44)</f>
        <v>46447</v>
      </c>
      <c r="B1" s="37"/>
      <c r="C1" s="1"/>
      <c r="D1" s="1"/>
      <c r="E1" s="1"/>
      <c r="F1" s="1"/>
      <c r="G1" s="1"/>
      <c r="H1" s="1"/>
      <c r="I1" s="1"/>
      <c r="J1" s="1"/>
      <c r="K1" s="38" t="s">
        <v>0</v>
      </c>
      <c r="L1" s="37"/>
      <c r="M1" s="37"/>
      <c r="N1" s="37"/>
    </row>
    <row r="2" spans="1:14" ht="18" customHeight="1">
      <c r="A2" s="39" t="s">
        <v>166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1:14" ht="18" customHeight="1">
      <c r="A3" s="29" t="s">
        <v>167</v>
      </c>
      <c r="B3" s="37"/>
      <c r="C3" s="27" t="s">
        <v>168</v>
      </c>
      <c r="D3" s="37"/>
      <c r="E3" s="19" t="s">
        <v>169</v>
      </c>
      <c r="F3" s="37"/>
      <c r="G3" s="21" t="s">
        <v>170</v>
      </c>
      <c r="H3" s="37"/>
      <c r="I3" s="56" t="s">
        <v>171</v>
      </c>
      <c r="J3" s="37"/>
      <c r="K3" s="23" t="s">
        <v>172</v>
      </c>
      <c r="L3" s="37"/>
      <c r="M3" s="25" t="s">
        <v>173</v>
      </c>
      <c r="N3" s="37"/>
    </row>
    <row r="4" spans="1:14" ht="69" customHeight="1">
      <c r="A4" s="42" t="str">
        <f>UPPER(TEXT(A1,"mmmm yyyy"))</f>
        <v>MARCH 2027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</row>
    <row r="5" spans="1:14" ht="18" customHeight="1">
      <c r="A5" s="40">
        <f>A15</f>
        <v>46454</v>
      </c>
      <c r="B5" s="41"/>
      <c r="C5" s="40">
        <f>C15</f>
        <v>46455</v>
      </c>
      <c r="D5" s="41"/>
      <c r="E5" s="40">
        <f>E15</f>
        <v>46456</v>
      </c>
      <c r="F5" s="41"/>
      <c r="G5" s="40">
        <f>G15</f>
        <v>46457</v>
      </c>
      <c r="H5" s="41"/>
      <c r="I5" s="40">
        <f>I15</f>
        <v>46458</v>
      </c>
      <c r="J5" s="41"/>
      <c r="K5" s="40">
        <f>K15</f>
        <v>46459</v>
      </c>
      <c r="L5" s="41"/>
      <c r="M5" s="40">
        <f>M15</f>
        <v>46460</v>
      </c>
      <c r="N5" s="41"/>
    </row>
    <row r="6" spans="1:14" ht="18" customHeight="1">
      <c r="A6" s="2">
        <f>IF(WEEKDAY($A$1,1)=startday,$A$1,"")</f>
        <v>46447</v>
      </c>
      <c r="B6" s="3"/>
      <c r="C6" s="2">
        <f>IF(A6="",IF(WEEKDAY($A$1,1)=MOD(startday,7)+1,$A$1,""),A6+1)</f>
        <v>46448</v>
      </c>
      <c r="D6" s="3"/>
      <c r="E6" s="2">
        <f>IF(C6="",IF(WEEKDAY($A$1,1)=MOD(startday,7)+2,$A$1,""),C6+1)</f>
        <v>46449</v>
      </c>
      <c r="F6" s="3"/>
      <c r="G6" s="2">
        <f>IF(E6="",IF(WEEKDAY($A$1,1)=MOD(startday,7)+3,$A$1,""),E6+1)</f>
        <v>46450</v>
      </c>
      <c r="H6" s="3"/>
      <c r="I6" s="2">
        <f>IF(G6="",IF(WEEKDAY($A$1,1)=MOD(startday,7)+4,$A$1,""),G6+1)</f>
        <v>46451</v>
      </c>
      <c r="J6" s="3"/>
      <c r="K6" s="4">
        <f>IF(I6="",IF(WEEKDAY($A$1,1)=MOD(startday,7)+5,$A$1,""),I6+1)</f>
        <v>46452</v>
      </c>
      <c r="L6" s="5"/>
      <c r="M6" s="4">
        <f>IF(K6="",IF(WEEKDAY($A$1,1)=MOD(startday+5,7)+1,$A$1,""),K6+1)</f>
        <v>46453</v>
      </c>
      <c r="N6" s="5"/>
    </row>
    <row r="7" spans="1:14" ht="18" customHeight="1">
      <c r="A7" s="29" t="s">
        <v>174</v>
      </c>
      <c r="B7" s="20"/>
      <c r="C7" s="29" t="s">
        <v>174</v>
      </c>
      <c r="D7" s="20"/>
      <c r="E7" s="29" t="s">
        <v>174</v>
      </c>
      <c r="F7" s="20"/>
      <c r="G7" s="29" t="s">
        <v>174</v>
      </c>
      <c r="H7" s="20"/>
      <c r="I7" s="29" t="s">
        <v>174</v>
      </c>
      <c r="J7" s="20"/>
      <c r="K7" s="29" t="s">
        <v>174</v>
      </c>
      <c r="L7" s="20"/>
      <c r="M7" s="29" t="s">
        <v>174</v>
      </c>
      <c r="N7" s="20"/>
    </row>
    <row r="8" spans="1:14" ht="18" customHeight="1">
      <c r="A8" s="27" t="s">
        <v>210</v>
      </c>
      <c r="B8" s="20"/>
      <c r="C8" s="27" t="s">
        <v>210</v>
      </c>
      <c r="D8" s="20"/>
      <c r="E8" s="27" t="s">
        <v>210</v>
      </c>
      <c r="F8" s="20"/>
      <c r="G8" s="27" t="s">
        <v>210</v>
      </c>
      <c r="H8" s="20"/>
      <c r="I8" s="27" t="s">
        <v>210</v>
      </c>
      <c r="J8" s="20"/>
      <c r="K8" s="26"/>
      <c r="L8" s="20"/>
      <c r="M8" s="26"/>
      <c r="N8" s="20"/>
    </row>
    <row r="9" spans="1:14" ht="18" customHeight="1">
      <c r="A9" s="19" t="s">
        <v>189</v>
      </c>
      <c r="B9" s="20"/>
      <c r="C9" s="19" t="s">
        <v>189</v>
      </c>
      <c r="D9" s="20"/>
      <c r="E9" s="19" t="s">
        <v>189</v>
      </c>
      <c r="F9" s="20"/>
      <c r="G9" s="19" t="s">
        <v>189</v>
      </c>
      <c r="H9" s="20"/>
      <c r="I9" s="19" t="s">
        <v>189</v>
      </c>
      <c r="J9" s="20"/>
      <c r="K9" s="19" t="s">
        <v>189</v>
      </c>
      <c r="L9" s="20"/>
      <c r="M9" s="19" t="s">
        <v>189</v>
      </c>
      <c r="N9" s="20"/>
    </row>
    <row r="10" spans="1:14" ht="18" customHeight="1">
      <c r="A10" s="21" t="s">
        <v>177</v>
      </c>
      <c r="B10" s="20"/>
      <c r="C10" s="21" t="s">
        <v>177</v>
      </c>
      <c r="D10" s="20"/>
      <c r="E10" s="21" t="s">
        <v>177</v>
      </c>
      <c r="F10" s="20"/>
      <c r="G10" s="21" t="s">
        <v>177</v>
      </c>
      <c r="H10" s="20"/>
      <c r="I10" s="21" t="s">
        <v>177</v>
      </c>
      <c r="J10" s="20"/>
      <c r="K10" s="30"/>
      <c r="L10" s="20"/>
      <c r="M10" s="30"/>
      <c r="N10" s="20"/>
    </row>
    <row r="11" spans="1:14" ht="18" customHeight="1">
      <c r="A11" s="56"/>
      <c r="B11" s="20"/>
      <c r="C11" s="57"/>
      <c r="D11" s="20"/>
      <c r="E11" s="56"/>
      <c r="F11" s="20"/>
      <c r="G11" s="56"/>
      <c r="H11" s="20"/>
      <c r="I11" s="56"/>
      <c r="J11" s="20"/>
      <c r="K11" s="56"/>
      <c r="L11" s="20"/>
      <c r="M11" s="56"/>
      <c r="N11" s="20"/>
    </row>
    <row r="12" spans="1:14" ht="18" customHeight="1">
      <c r="A12" s="23"/>
      <c r="B12" s="20"/>
      <c r="C12" s="22"/>
      <c r="D12" s="20"/>
      <c r="E12" s="23"/>
      <c r="F12" s="20"/>
      <c r="G12" s="22"/>
      <c r="H12" s="20"/>
      <c r="I12" s="22"/>
      <c r="J12" s="20"/>
      <c r="K12" s="22"/>
      <c r="L12" s="20"/>
      <c r="M12" s="22"/>
      <c r="N12" s="20"/>
    </row>
    <row r="13" spans="1:14" ht="18" customHeight="1">
      <c r="A13" s="25"/>
      <c r="B13" s="20"/>
      <c r="C13" s="25"/>
      <c r="D13" s="20"/>
      <c r="E13" s="25"/>
      <c r="F13" s="20"/>
      <c r="G13" s="25"/>
      <c r="H13" s="20"/>
      <c r="I13" s="25"/>
      <c r="J13" s="20"/>
      <c r="K13" s="25"/>
      <c r="L13" s="20"/>
      <c r="M13" s="25"/>
      <c r="N13" s="20"/>
    </row>
    <row r="14" spans="1:14" ht="18" customHeight="1">
      <c r="A14" s="58"/>
      <c r="B14" s="24"/>
      <c r="C14" s="58"/>
      <c r="D14" s="24"/>
      <c r="E14" s="58"/>
      <c r="F14" s="24"/>
      <c r="G14" s="58"/>
      <c r="H14" s="24"/>
      <c r="I14" s="58"/>
      <c r="J14" s="24"/>
      <c r="K14" s="58"/>
      <c r="L14" s="24"/>
      <c r="M14" s="58"/>
      <c r="N14" s="24"/>
    </row>
    <row r="15" spans="1:14" ht="18" customHeight="1">
      <c r="A15" s="2">
        <f>M6+1</f>
        <v>46454</v>
      </c>
      <c r="B15" s="3"/>
      <c r="C15" s="2">
        <f>A15+1</f>
        <v>46455</v>
      </c>
      <c r="D15" s="3"/>
      <c r="E15" s="2">
        <f>C15+1</f>
        <v>46456</v>
      </c>
      <c r="F15" s="3"/>
      <c r="G15" s="2">
        <f>E15+1</f>
        <v>46457</v>
      </c>
      <c r="H15" s="3"/>
      <c r="I15" s="2">
        <f>G15+1</f>
        <v>46458</v>
      </c>
      <c r="J15" s="3"/>
      <c r="K15" s="4">
        <f>I15+1</f>
        <v>46459</v>
      </c>
      <c r="L15" s="5"/>
      <c r="M15" s="4">
        <f>K15+1</f>
        <v>46460</v>
      </c>
      <c r="N15" s="5"/>
    </row>
    <row r="16" spans="1:14" ht="18" customHeight="1">
      <c r="A16" s="50" t="s">
        <v>205</v>
      </c>
      <c r="B16" s="51"/>
      <c r="C16" s="50" t="s">
        <v>205</v>
      </c>
      <c r="D16" s="51"/>
      <c r="E16" s="50" t="s">
        <v>205</v>
      </c>
      <c r="F16" s="51"/>
      <c r="G16" s="50" t="s">
        <v>205</v>
      </c>
      <c r="H16" s="51"/>
      <c r="I16" s="50" t="s">
        <v>205</v>
      </c>
      <c r="J16" s="51"/>
      <c r="K16" s="50" t="s">
        <v>205</v>
      </c>
      <c r="L16" s="51"/>
      <c r="M16" s="50" t="s">
        <v>205</v>
      </c>
      <c r="N16" s="51"/>
    </row>
    <row r="17" spans="1:14" ht="18" customHeight="1">
      <c r="A17" s="27" t="s">
        <v>203</v>
      </c>
      <c r="B17" s="28"/>
      <c r="C17" s="27" t="s">
        <v>203</v>
      </c>
      <c r="D17" s="28"/>
      <c r="E17" s="27" t="s">
        <v>203</v>
      </c>
      <c r="F17" s="28"/>
      <c r="G17" s="27" t="s">
        <v>203</v>
      </c>
      <c r="H17" s="28"/>
      <c r="I17" s="27" t="s">
        <v>203</v>
      </c>
      <c r="J17" s="28"/>
      <c r="K17" s="26"/>
      <c r="L17" s="20"/>
      <c r="M17" s="26"/>
      <c r="N17" s="20"/>
    </row>
    <row r="18" spans="1:14" ht="18" customHeight="1">
      <c r="A18" s="19" t="s">
        <v>187</v>
      </c>
      <c r="B18" s="20"/>
      <c r="C18" s="19" t="s">
        <v>187</v>
      </c>
      <c r="D18" s="20"/>
      <c r="E18" s="19" t="s">
        <v>187</v>
      </c>
      <c r="F18" s="20"/>
      <c r="G18" s="19" t="s">
        <v>187</v>
      </c>
      <c r="H18" s="20"/>
      <c r="I18" s="19" t="s">
        <v>187</v>
      </c>
      <c r="J18" s="20"/>
      <c r="K18" s="19" t="s">
        <v>187</v>
      </c>
      <c r="L18" s="20"/>
      <c r="M18" s="19" t="s">
        <v>187</v>
      </c>
      <c r="N18" s="20"/>
    </row>
    <row r="19" spans="1:14" ht="18" customHeight="1">
      <c r="A19" s="21" t="s">
        <v>176</v>
      </c>
      <c r="B19" s="20"/>
      <c r="C19" s="21" t="s">
        <v>176</v>
      </c>
      <c r="D19" s="20"/>
      <c r="E19" s="21" t="s">
        <v>176</v>
      </c>
      <c r="F19" s="20"/>
      <c r="G19" s="21" t="s">
        <v>176</v>
      </c>
      <c r="H19" s="20"/>
      <c r="I19" s="21" t="s">
        <v>176</v>
      </c>
      <c r="J19" s="20"/>
      <c r="K19" s="21"/>
      <c r="L19" s="20"/>
      <c r="M19" s="21"/>
      <c r="N19" s="20"/>
    </row>
    <row r="20" spans="1:14" ht="18" customHeight="1">
      <c r="A20" s="56"/>
      <c r="B20" s="20"/>
      <c r="C20" s="56"/>
      <c r="D20" s="20"/>
      <c r="E20" s="56"/>
      <c r="F20" s="20"/>
      <c r="G20" s="56"/>
      <c r="H20" s="20"/>
      <c r="I20" s="56"/>
      <c r="J20" s="20"/>
      <c r="K20" s="56"/>
      <c r="L20" s="20"/>
      <c r="M20" s="56"/>
      <c r="N20" s="20"/>
    </row>
    <row r="21" spans="1:14" ht="18" customHeight="1">
      <c r="A21" s="23"/>
      <c r="B21" s="20"/>
      <c r="C21" s="22"/>
      <c r="D21" s="20"/>
      <c r="E21" s="23"/>
      <c r="F21" s="20"/>
      <c r="G21" s="22"/>
      <c r="H21" s="20"/>
      <c r="I21" s="22"/>
      <c r="J21" s="20"/>
      <c r="K21" s="22"/>
      <c r="L21" s="20"/>
      <c r="M21" s="22"/>
      <c r="N21" s="20"/>
    </row>
    <row r="22" spans="1:14" ht="18" customHeight="1">
      <c r="A22" s="25"/>
      <c r="B22" s="20"/>
      <c r="C22" s="25"/>
      <c r="D22" s="20"/>
      <c r="E22" s="25"/>
      <c r="F22" s="20"/>
      <c r="G22" s="25"/>
      <c r="H22" s="20"/>
      <c r="I22" s="25"/>
      <c r="J22" s="20"/>
      <c r="K22" s="25"/>
      <c r="L22" s="20"/>
      <c r="M22" s="25"/>
      <c r="N22" s="20"/>
    </row>
    <row r="23" spans="1:14" ht="18" customHeight="1">
      <c r="A23" s="58"/>
      <c r="B23" s="24"/>
      <c r="C23" s="58"/>
      <c r="D23" s="24"/>
      <c r="E23" s="58"/>
      <c r="F23" s="24"/>
      <c r="G23" s="58"/>
      <c r="H23" s="24"/>
      <c r="I23" s="58"/>
      <c r="J23" s="24"/>
      <c r="K23" s="58"/>
      <c r="L23" s="24"/>
      <c r="M23" s="58"/>
      <c r="N23" s="24"/>
    </row>
    <row r="24" spans="1:14" ht="18" customHeight="1">
      <c r="A24" s="2">
        <f>M15+1</f>
        <v>46461</v>
      </c>
      <c r="B24" s="3"/>
      <c r="C24" s="2">
        <f>A24+1</f>
        <v>46462</v>
      </c>
      <c r="D24" s="3"/>
      <c r="E24" s="2">
        <f>C24+1</f>
        <v>46463</v>
      </c>
      <c r="F24" s="3"/>
      <c r="G24" s="2">
        <f>E24+1</f>
        <v>46464</v>
      </c>
      <c r="H24" s="3"/>
      <c r="I24" s="2">
        <f>G24+1</f>
        <v>46465</v>
      </c>
      <c r="J24" s="3"/>
      <c r="K24" s="4">
        <f>I24+1</f>
        <v>46466</v>
      </c>
      <c r="L24" s="5"/>
      <c r="M24" s="4">
        <f>K24+1</f>
        <v>46467</v>
      </c>
      <c r="N24" s="5"/>
    </row>
    <row r="25" spans="1:14" ht="18" customHeight="1">
      <c r="A25" s="29" t="s">
        <v>210</v>
      </c>
      <c r="B25" s="20"/>
      <c r="C25" s="29" t="s">
        <v>210</v>
      </c>
      <c r="D25" s="20"/>
      <c r="E25" s="29" t="s">
        <v>210</v>
      </c>
      <c r="F25" s="20"/>
      <c r="G25" s="29" t="s">
        <v>210</v>
      </c>
      <c r="H25" s="20"/>
      <c r="I25" s="29" t="s">
        <v>210</v>
      </c>
      <c r="J25" s="20"/>
      <c r="K25" s="29" t="s">
        <v>210</v>
      </c>
      <c r="L25" s="20"/>
      <c r="M25" s="29" t="s">
        <v>210</v>
      </c>
      <c r="N25" s="20"/>
    </row>
    <row r="26" spans="1:14" ht="18" customHeight="1">
      <c r="A26" s="27" t="s">
        <v>174</v>
      </c>
      <c r="B26" s="20"/>
      <c r="C26" s="27" t="s">
        <v>174</v>
      </c>
      <c r="D26" s="20"/>
      <c r="E26" s="27" t="s">
        <v>174</v>
      </c>
      <c r="F26" s="20"/>
      <c r="G26" s="27" t="s">
        <v>174</v>
      </c>
      <c r="H26" s="20"/>
      <c r="I26" s="27" t="s">
        <v>174</v>
      </c>
      <c r="J26" s="20"/>
      <c r="K26" s="26"/>
      <c r="L26" s="20"/>
      <c r="M26" s="26"/>
      <c r="N26" s="20"/>
    </row>
    <row r="27" spans="1:14" ht="18" customHeight="1">
      <c r="A27" s="19" t="s">
        <v>188</v>
      </c>
      <c r="B27" s="20"/>
      <c r="C27" s="19" t="s">
        <v>188</v>
      </c>
      <c r="D27" s="20"/>
      <c r="E27" s="19" t="s">
        <v>188</v>
      </c>
      <c r="F27" s="20"/>
      <c r="G27" s="19" t="s">
        <v>188</v>
      </c>
      <c r="H27" s="20"/>
      <c r="I27" s="19" t="s">
        <v>188</v>
      </c>
      <c r="J27" s="20"/>
      <c r="K27" s="19" t="s">
        <v>188</v>
      </c>
      <c r="L27" s="20"/>
      <c r="M27" s="19" t="s">
        <v>188</v>
      </c>
      <c r="N27" s="20"/>
    </row>
    <row r="28" spans="1:14" ht="18" customHeight="1">
      <c r="A28" s="21" t="s">
        <v>189</v>
      </c>
      <c r="B28" s="20"/>
      <c r="C28" s="21" t="s">
        <v>189</v>
      </c>
      <c r="D28" s="20"/>
      <c r="E28" s="21" t="s">
        <v>189</v>
      </c>
      <c r="F28" s="20"/>
      <c r="G28" s="21" t="s">
        <v>189</v>
      </c>
      <c r="H28" s="20"/>
      <c r="I28" s="21" t="s">
        <v>189</v>
      </c>
      <c r="J28" s="20"/>
      <c r="K28" s="21"/>
      <c r="L28" s="20"/>
      <c r="M28" s="21"/>
      <c r="N28" s="20"/>
    </row>
    <row r="29" spans="1:14" ht="18" customHeight="1">
      <c r="A29" s="56"/>
      <c r="B29" s="20"/>
      <c r="C29" s="56"/>
      <c r="D29" s="20"/>
      <c r="E29" s="56"/>
      <c r="F29" s="20"/>
      <c r="G29" s="56"/>
      <c r="H29" s="20"/>
      <c r="I29" s="56"/>
      <c r="J29" s="20"/>
      <c r="K29" s="56"/>
      <c r="L29" s="20"/>
      <c r="M29" s="56"/>
      <c r="N29" s="20"/>
    </row>
    <row r="30" spans="1:14" ht="18" customHeight="1">
      <c r="A30" s="23"/>
      <c r="B30" s="20"/>
      <c r="C30" s="22"/>
      <c r="D30" s="20"/>
      <c r="E30" s="23"/>
      <c r="F30" s="20"/>
      <c r="G30" s="22"/>
      <c r="H30" s="20"/>
      <c r="I30" s="22"/>
      <c r="J30" s="20"/>
      <c r="K30" s="22"/>
      <c r="L30" s="20"/>
      <c r="M30" s="22"/>
      <c r="N30" s="20"/>
    </row>
    <row r="31" spans="1:14" ht="18" customHeight="1">
      <c r="A31" s="25"/>
      <c r="B31" s="20"/>
      <c r="C31" s="25"/>
      <c r="D31" s="20"/>
      <c r="E31" s="25"/>
      <c r="F31" s="20"/>
      <c r="G31" s="25"/>
      <c r="H31" s="20"/>
      <c r="I31" s="25"/>
      <c r="J31" s="20"/>
      <c r="K31" s="25"/>
      <c r="L31" s="20"/>
      <c r="M31" s="25"/>
      <c r="N31" s="20"/>
    </row>
    <row r="32" spans="1:14" ht="18" customHeight="1">
      <c r="A32" s="58"/>
      <c r="B32" s="24"/>
      <c r="C32" s="58"/>
      <c r="D32" s="24"/>
      <c r="E32" s="58"/>
      <c r="F32" s="24"/>
      <c r="G32" s="58"/>
      <c r="H32" s="24"/>
      <c r="I32" s="58"/>
      <c r="J32" s="24"/>
      <c r="K32" s="58"/>
      <c r="L32" s="24"/>
      <c r="M32" s="58"/>
      <c r="N32" s="24"/>
    </row>
    <row r="33" spans="1:14" ht="18" customHeight="1">
      <c r="A33" s="2">
        <f>M24+1</f>
        <v>46468</v>
      </c>
      <c r="B33" s="3"/>
      <c r="C33" s="2">
        <f>A33+1</f>
        <v>46469</v>
      </c>
      <c r="D33" s="3"/>
      <c r="E33" s="2">
        <f>C33+1</f>
        <v>46470</v>
      </c>
      <c r="F33" s="3"/>
      <c r="G33" s="2">
        <f>E33+1</f>
        <v>46471</v>
      </c>
      <c r="H33" s="3"/>
      <c r="I33" s="2">
        <f>G33+1</f>
        <v>46472</v>
      </c>
      <c r="J33" s="3"/>
      <c r="K33" s="4">
        <f>I33+1</f>
        <v>46473</v>
      </c>
      <c r="L33" s="5"/>
      <c r="M33" s="4">
        <f>K33+1</f>
        <v>46474</v>
      </c>
      <c r="N33" s="5"/>
    </row>
    <row r="34" spans="1:14" ht="18" customHeight="1">
      <c r="A34" s="29" t="s">
        <v>178</v>
      </c>
      <c r="B34" s="20"/>
      <c r="C34" s="29" t="s">
        <v>178</v>
      </c>
      <c r="D34" s="20"/>
      <c r="E34" s="29" t="s">
        <v>178</v>
      </c>
      <c r="F34" s="20"/>
      <c r="G34" s="29" t="s">
        <v>178</v>
      </c>
      <c r="H34" s="20"/>
      <c r="I34" s="29" t="s">
        <v>178</v>
      </c>
      <c r="J34" s="20"/>
      <c r="K34" s="29" t="s">
        <v>178</v>
      </c>
      <c r="L34" s="20"/>
      <c r="M34" s="29" t="s">
        <v>178</v>
      </c>
      <c r="N34" s="20"/>
    </row>
    <row r="35" spans="1:14" ht="18" customHeight="1">
      <c r="A35" s="27" t="s">
        <v>199</v>
      </c>
      <c r="B35" s="20"/>
      <c r="C35" s="27" t="s">
        <v>199</v>
      </c>
      <c r="D35" s="20"/>
      <c r="E35" s="27" t="s">
        <v>199</v>
      </c>
      <c r="F35" s="20"/>
      <c r="G35" s="27" t="s">
        <v>199</v>
      </c>
      <c r="H35" s="20"/>
      <c r="I35" s="27" t="s">
        <v>199</v>
      </c>
      <c r="J35" s="20"/>
      <c r="K35" s="26"/>
      <c r="L35" s="20"/>
      <c r="M35" s="26"/>
      <c r="N35" s="20"/>
    </row>
    <row r="36" spans="1:14" ht="18" customHeight="1">
      <c r="A36" s="19" t="s">
        <v>203</v>
      </c>
      <c r="B36" s="20"/>
      <c r="C36" s="19" t="s">
        <v>203</v>
      </c>
      <c r="D36" s="20"/>
      <c r="E36" s="19" t="s">
        <v>203</v>
      </c>
      <c r="F36" s="20"/>
      <c r="G36" s="19" t="s">
        <v>203</v>
      </c>
      <c r="H36" s="20"/>
      <c r="I36" s="19" t="s">
        <v>203</v>
      </c>
      <c r="J36" s="20"/>
      <c r="K36" s="19" t="s">
        <v>203</v>
      </c>
      <c r="L36" s="20"/>
      <c r="M36" s="19" t="s">
        <v>203</v>
      </c>
      <c r="N36" s="20"/>
    </row>
    <row r="37" spans="1:14" ht="18" customHeight="1">
      <c r="A37" s="21" t="s">
        <v>202</v>
      </c>
      <c r="B37" s="20"/>
      <c r="C37" s="21" t="s">
        <v>202</v>
      </c>
      <c r="D37" s="20"/>
      <c r="E37" s="21" t="s">
        <v>202</v>
      </c>
      <c r="F37" s="20"/>
      <c r="G37" s="21" t="s">
        <v>202</v>
      </c>
      <c r="H37" s="20"/>
      <c r="I37" s="21" t="s">
        <v>202</v>
      </c>
      <c r="J37" s="20"/>
      <c r="K37" s="30"/>
      <c r="L37" s="20"/>
      <c r="M37" s="30"/>
      <c r="N37" s="20"/>
    </row>
    <row r="38" spans="1:14" ht="18" customHeight="1">
      <c r="A38" s="56"/>
      <c r="B38" s="20"/>
      <c r="C38" s="56"/>
      <c r="D38" s="20"/>
      <c r="E38" s="56"/>
      <c r="F38" s="20"/>
      <c r="G38" s="56"/>
      <c r="H38" s="20"/>
      <c r="I38" s="56"/>
      <c r="J38" s="20"/>
      <c r="K38" s="56"/>
      <c r="L38" s="20"/>
      <c r="M38" s="56"/>
      <c r="N38" s="20"/>
    </row>
    <row r="39" spans="1:14" ht="18" customHeight="1">
      <c r="A39" s="23"/>
      <c r="B39" s="20"/>
      <c r="C39" s="22"/>
      <c r="D39" s="20"/>
      <c r="E39" s="23"/>
      <c r="F39" s="20"/>
      <c r="G39" s="22"/>
      <c r="H39" s="20"/>
      <c r="I39" s="22"/>
      <c r="J39" s="20"/>
      <c r="K39" s="22"/>
      <c r="L39" s="20"/>
      <c r="M39" s="22"/>
      <c r="N39" s="20"/>
    </row>
    <row r="40" spans="1:14" ht="18" customHeight="1">
      <c r="A40" s="25"/>
      <c r="B40" s="20"/>
      <c r="C40" s="25"/>
      <c r="D40" s="20"/>
      <c r="E40" s="25"/>
      <c r="F40" s="20"/>
      <c r="G40" s="25"/>
      <c r="H40" s="20"/>
      <c r="I40" s="25"/>
      <c r="J40" s="20"/>
      <c r="K40" s="25"/>
      <c r="L40" s="20"/>
      <c r="M40" s="25"/>
      <c r="N40" s="20"/>
    </row>
    <row r="41" spans="1:14" ht="18" customHeight="1">
      <c r="A41" s="58"/>
      <c r="B41" s="24"/>
      <c r="C41" s="58"/>
      <c r="D41" s="24"/>
      <c r="E41" s="58"/>
      <c r="F41" s="24"/>
      <c r="G41" s="58"/>
      <c r="H41" s="24"/>
      <c r="I41" s="58"/>
      <c r="J41" s="24"/>
      <c r="K41" s="58"/>
      <c r="L41" s="24"/>
      <c r="M41" s="58"/>
      <c r="N41" s="24"/>
    </row>
    <row r="42" spans="1:14" ht="18" customHeight="1">
      <c r="A42" s="2">
        <f>IF(M33="","",IF(MONTH(M33+1)&lt;&gt;MONTH($A$1),"",M33+1))</f>
        <v>46475</v>
      </c>
      <c r="B42" s="3"/>
      <c r="C42" s="2">
        <f>IF(A42="","",IF(MONTH(A42+1)&lt;&gt;MONTH($A$1),"",A42+1))</f>
        <v>46476</v>
      </c>
      <c r="D42" s="3"/>
      <c r="E42" s="2">
        <v>31</v>
      </c>
      <c r="F42" s="3"/>
      <c r="G42" s="2">
        <v>1</v>
      </c>
      <c r="H42" s="3"/>
      <c r="I42" s="2">
        <v>2</v>
      </c>
      <c r="J42" s="3"/>
      <c r="K42" s="4">
        <v>3</v>
      </c>
      <c r="L42" s="5"/>
      <c r="M42" s="4">
        <v>4</v>
      </c>
      <c r="N42" s="5"/>
    </row>
    <row r="43" spans="1:14" ht="18" customHeight="1">
      <c r="A43" s="29" t="s">
        <v>185</v>
      </c>
      <c r="B43" s="20"/>
      <c r="C43" s="29" t="s">
        <v>185</v>
      </c>
      <c r="D43" s="20"/>
      <c r="E43" s="29" t="s">
        <v>185</v>
      </c>
      <c r="F43" s="20"/>
      <c r="G43" s="29" t="s">
        <v>185</v>
      </c>
      <c r="H43" s="20"/>
      <c r="I43" s="29" t="s">
        <v>185</v>
      </c>
      <c r="J43" s="20"/>
      <c r="K43" s="29" t="s">
        <v>185</v>
      </c>
      <c r="L43" s="20"/>
      <c r="M43" s="29" t="s">
        <v>185</v>
      </c>
      <c r="N43" s="20"/>
    </row>
    <row r="44" spans="1:14" ht="18" customHeight="1">
      <c r="A44" s="27" t="s">
        <v>174</v>
      </c>
      <c r="B44" s="20"/>
      <c r="C44" s="27" t="s">
        <v>174</v>
      </c>
      <c r="D44" s="20"/>
      <c r="E44" s="27" t="s">
        <v>174</v>
      </c>
      <c r="F44" s="20"/>
      <c r="G44" s="27" t="s">
        <v>174</v>
      </c>
      <c r="H44" s="20"/>
      <c r="I44" s="27" t="s">
        <v>174</v>
      </c>
      <c r="J44" s="20"/>
      <c r="K44" s="26"/>
      <c r="L44" s="20"/>
      <c r="M44" s="26"/>
      <c r="N44" s="20"/>
    </row>
    <row r="45" spans="1:14" ht="18" customHeight="1">
      <c r="A45" s="19"/>
      <c r="B45" s="20"/>
      <c r="C45" s="19"/>
      <c r="D45" s="20"/>
      <c r="E45" s="19"/>
      <c r="F45" s="20"/>
      <c r="G45" s="19"/>
      <c r="H45" s="20"/>
      <c r="I45" s="19"/>
      <c r="J45" s="20"/>
      <c r="K45" s="19"/>
      <c r="L45" s="20"/>
      <c r="M45" s="19"/>
      <c r="N45" s="20"/>
    </row>
    <row r="46" spans="1:14" ht="18" customHeight="1">
      <c r="A46" s="21"/>
      <c r="B46" s="20"/>
      <c r="C46" s="21"/>
      <c r="D46" s="20"/>
      <c r="E46" s="21"/>
      <c r="F46" s="20"/>
      <c r="G46" s="21"/>
      <c r="H46" s="20"/>
      <c r="I46" s="21"/>
      <c r="J46" s="20"/>
      <c r="K46" s="30"/>
      <c r="L46" s="20"/>
      <c r="M46" s="30"/>
      <c r="N46" s="20"/>
    </row>
    <row r="47" spans="1:14" ht="18" customHeight="1">
      <c r="A47" s="56"/>
      <c r="B47" s="20"/>
      <c r="C47" s="56"/>
      <c r="D47" s="20"/>
      <c r="E47" s="56"/>
      <c r="F47" s="20"/>
      <c r="G47" s="56"/>
      <c r="H47" s="20"/>
      <c r="I47" s="56"/>
      <c r="J47" s="20"/>
      <c r="K47" s="57"/>
      <c r="L47" s="20"/>
      <c r="M47" s="57"/>
      <c r="N47" s="20"/>
    </row>
    <row r="48" spans="1:14" ht="18" customHeight="1">
      <c r="A48" s="23"/>
      <c r="B48" s="20"/>
      <c r="C48" s="22"/>
      <c r="D48" s="20"/>
      <c r="E48" s="23"/>
      <c r="F48" s="20"/>
      <c r="G48" s="22"/>
      <c r="H48" s="20"/>
      <c r="I48" s="22"/>
      <c r="J48" s="20"/>
      <c r="K48" s="22"/>
      <c r="L48" s="20"/>
      <c r="M48" s="22"/>
      <c r="N48" s="20"/>
    </row>
    <row r="49" spans="1:14" ht="18" customHeight="1">
      <c r="A49" s="25"/>
      <c r="B49" s="20"/>
      <c r="C49" s="25"/>
      <c r="D49" s="20"/>
      <c r="E49" s="25"/>
      <c r="F49" s="20"/>
      <c r="G49" s="25"/>
      <c r="H49" s="20"/>
      <c r="I49" s="25"/>
      <c r="J49" s="20"/>
      <c r="K49" s="25"/>
      <c r="L49" s="20"/>
      <c r="M49" s="25"/>
      <c r="N49" s="20"/>
    </row>
    <row r="50" spans="1:14" ht="18" customHeight="1">
      <c r="A50" s="58"/>
      <c r="B50" s="24"/>
      <c r="C50" s="58"/>
      <c r="D50" s="24"/>
      <c r="E50" s="58"/>
      <c r="F50" s="24"/>
      <c r="G50" s="58"/>
      <c r="H50" s="24"/>
      <c r="I50" s="58"/>
      <c r="J50" s="24"/>
      <c r="K50" s="58"/>
      <c r="L50" s="24"/>
      <c r="M50" s="58"/>
      <c r="N50" s="24"/>
    </row>
    <row r="51" spans="1:14" ht="18" customHeight="1">
      <c r="A51" s="2">
        <v>30</v>
      </c>
      <c r="B51" s="3"/>
      <c r="C51" s="2">
        <v>31</v>
      </c>
      <c r="D51" s="3"/>
      <c r="E51" s="46" t="s">
        <v>22</v>
      </c>
      <c r="F51" s="47"/>
      <c r="G51" s="48"/>
      <c r="H51" s="47"/>
      <c r="I51" s="47"/>
      <c r="J51" s="47"/>
      <c r="K51" s="47"/>
      <c r="L51" s="47"/>
      <c r="M51" s="47"/>
      <c r="N51" s="49"/>
    </row>
    <row r="52" spans="1:14" ht="18" customHeight="1">
      <c r="A52" s="29"/>
      <c r="B52" s="20"/>
      <c r="C52" s="44"/>
      <c r="D52" s="20"/>
      <c r="E52" s="45"/>
      <c r="F52" s="37"/>
      <c r="G52" s="37"/>
      <c r="H52" s="37"/>
      <c r="I52" s="37"/>
      <c r="J52" s="37"/>
      <c r="K52" s="37"/>
      <c r="L52" s="37"/>
      <c r="M52" s="37"/>
      <c r="N52" s="20"/>
    </row>
    <row r="53" spans="1:14" ht="18" customHeight="1">
      <c r="A53" s="27"/>
      <c r="B53" s="20"/>
      <c r="C53" s="26"/>
      <c r="D53" s="20"/>
      <c r="E53" s="45"/>
      <c r="F53" s="37"/>
      <c r="G53" s="37"/>
      <c r="H53" s="37"/>
      <c r="I53" s="37"/>
      <c r="J53" s="37"/>
      <c r="K53" s="37"/>
      <c r="L53" s="37"/>
      <c r="M53" s="37"/>
      <c r="N53" s="20"/>
    </row>
    <row r="54" spans="1:14" ht="18" customHeight="1">
      <c r="A54" s="19"/>
      <c r="B54" s="20"/>
      <c r="C54" s="35"/>
      <c r="D54" s="20"/>
      <c r="E54" s="45"/>
      <c r="F54" s="37"/>
      <c r="G54" s="37"/>
      <c r="H54" s="37"/>
      <c r="I54" s="37"/>
      <c r="J54" s="37"/>
      <c r="K54" s="37"/>
      <c r="L54" s="37"/>
      <c r="M54" s="37"/>
      <c r="N54" s="20"/>
    </row>
    <row r="55" spans="1:14" ht="18" customHeight="1">
      <c r="A55" s="21"/>
      <c r="B55" s="20"/>
      <c r="C55" s="30"/>
      <c r="D55" s="20"/>
      <c r="E55" s="6"/>
      <c r="F55" s="7"/>
      <c r="G55" s="7"/>
      <c r="H55" s="7"/>
      <c r="I55" s="7"/>
      <c r="J55" s="7"/>
      <c r="K55" s="7"/>
      <c r="L55" s="7"/>
      <c r="M55" s="7"/>
      <c r="N55" s="8"/>
    </row>
    <row r="56" spans="1:14" ht="18" customHeight="1">
      <c r="A56" s="56"/>
      <c r="B56" s="20"/>
      <c r="C56" s="57"/>
      <c r="D56" s="20"/>
      <c r="E56" s="6"/>
      <c r="F56" s="7"/>
      <c r="G56" s="7"/>
      <c r="H56" s="7"/>
      <c r="I56" s="7"/>
      <c r="J56" s="7"/>
      <c r="K56" s="7"/>
      <c r="L56" s="7"/>
      <c r="M56" s="7"/>
      <c r="N56" s="8"/>
    </row>
    <row r="57" spans="1:14" ht="18" customHeight="1">
      <c r="A57" s="23"/>
      <c r="B57" s="20"/>
      <c r="C57" s="22"/>
      <c r="D57" s="20"/>
      <c r="E57" s="6"/>
      <c r="F57" s="7"/>
      <c r="G57" s="7"/>
      <c r="H57" s="7"/>
      <c r="I57" s="7"/>
      <c r="J57" s="7"/>
      <c r="K57" s="7"/>
      <c r="L57" s="7"/>
      <c r="M57" s="7"/>
      <c r="N57" s="8"/>
    </row>
    <row r="58" spans="1:14" ht="18" customHeight="1">
      <c r="A58" s="25"/>
      <c r="B58" s="20"/>
      <c r="C58" s="31"/>
      <c r="D58" s="24"/>
      <c r="E58" s="32" t="s">
        <v>23</v>
      </c>
      <c r="F58" s="33"/>
      <c r="G58" s="33"/>
      <c r="H58" s="33"/>
      <c r="I58" s="34" t="str">
        <f>HYPERLINK("https://www.vertex42.com/calendars/academic-calendar.html","https://www.vertex42.com/calendars/academic-calendar.html")</f>
        <v>https://www.vertex42.com/calendars/academic-calendar.html</v>
      </c>
      <c r="J58" s="33"/>
      <c r="K58" s="33"/>
      <c r="L58" s="33"/>
      <c r="M58" s="33"/>
      <c r="N58" s="24"/>
    </row>
  </sheetData>
  <mergeCells count="319">
    <mergeCell ref="A11:B11"/>
    <mergeCell ref="C11:D11"/>
    <mergeCell ref="A12:B12"/>
    <mergeCell ref="C12:D12"/>
    <mergeCell ref="C13:D13"/>
    <mergeCell ref="A13:B13"/>
    <mergeCell ref="A14:B14"/>
    <mergeCell ref="E14:F14"/>
    <mergeCell ref="C25:D25"/>
    <mergeCell ref="A25:B25"/>
    <mergeCell ref="E25:F25"/>
    <mergeCell ref="C16:D16"/>
    <mergeCell ref="C14:D14"/>
    <mergeCell ref="E13:F13"/>
    <mergeCell ref="E12:F12"/>
    <mergeCell ref="E11:F11"/>
    <mergeCell ref="A26:B26"/>
    <mergeCell ref="E19:F19"/>
    <mergeCell ref="E21:F21"/>
    <mergeCell ref="E20:F20"/>
    <mergeCell ref="E18:F18"/>
    <mergeCell ref="E17:F17"/>
    <mergeCell ref="A16:B16"/>
    <mergeCell ref="C26:D26"/>
    <mergeCell ref="E26:F26"/>
    <mergeCell ref="E22:F22"/>
    <mergeCell ref="E23:F23"/>
    <mergeCell ref="E16:F16"/>
    <mergeCell ref="A5:B5"/>
    <mergeCell ref="C5:D5"/>
    <mergeCell ref="E5:F5"/>
    <mergeCell ref="A2:N2"/>
    <mergeCell ref="A1:B1"/>
    <mergeCell ref="A8:B8"/>
    <mergeCell ref="A9:B9"/>
    <mergeCell ref="C7:D7"/>
    <mergeCell ref="E7:F7"/>
    <mergeCell ref="C9:D9"/>
    <mergeCell ref="C8:D8"/>
    <mergeCell ref="E9:F9"/>
    <mergeCell ref="E8:F8"/>
    <mergeCell ref="A7:B7"/>
    <mergeCell ref="K1:N1"/>
    <mergeCell ref="M3:N3"/>
    <mergeCell ref="K3:L3"/>
    <mergeCell ref="G3:H3"/>
    <mergeCell ref="I3:J3"/>
    <mergeCell ref="C3:D3"/>
    <mergeCell ref="A3:B3"/>
    <mergeCell ref="E3:F3"/>
    <mergeCell ref="A4:N4"/>
    <mergeCell ref="K9:L9"/>
    <mergeCell ref="K8:L8"/>
    <mergeCell ref="M7:N7"/>
    <mergeCell ref="I9:J9"/>
    <mergeCell ref="G9:H9"/>
    <mergeCell ref="I5:J5"/>
    <mergeCell ref="I8:J8"/>
    <mergeCell ref="I7:J7"/>
    <mergeCell ref="G5:H5"/>
    <mergeCell ref="G8:H8"/>
    <mergeCell ref="G7:H7"/>
    <mergeCell ref="K7:L7"/>
    <mergeCell ref="M5:N5"/>
    <mergeCell ref="K5:L5"/>
    <mergeCell ref="M8:N8"/>
    <mergeCell ref="M9:N9"/>
    <mergeCell ref="M11:N11"/>
    <mergeCell ref="K13:L13"/>
    <mergeCell ref="M13:N13"/>
    <mergeCell ref="I13:J13"/>
    <mergeCell ref="I11:J11"/>
    <mergeCell ref="I12:J12"/>
    <mergeCell ref="K12:L12"/>
    <mergeCell ref="G11:H11"/>
    <mergeCell ref="M12:N12"/>
    <mergeCell ref="G13:H13"/>
    <mergeCell ref="G12:H12"/>
    <mergeCell ref="A56:B56"/>
    <mergeCell ref="C56:D56"/>
    <mergeCell ref="A57:B57"/>
    <mergeCell ref="A58:B58"/>
    <mergeCell ref="A54:B54"/>
    <mergeCell ref="A55:B55"/>
    <mergeCell ref="E58:H58"/>
    <mergeCell ref="I58:N58"/>
    <mergeCell ref="C58:D58"/>
    <mergeCell ref="C54:D54"/>
    <mergeCell ref="C55:D55"/>
    <mergeCell ref="E54:N54"/>
    <mergeCell ref="C57:D57"/>
    <mergeCell ref="K50:L50"/>
    <mergeCell ref="I50:J50"/>
    <mergeCell ref="E50:F50"/>
    <mergeCell ref="E51:F51"/>
    <mergeCell ref="C50:D50"/>
    <mergeCell ref="G50:H50"/>
    <mergeCell ref="E53:N53"/>
    <mergeCell ref="C52:D52"/>
    <mergeCell ref="E52:N52"/>
    <mergeCell ref="G51:N51"/>
    <mergeCell ref="M50:N50"/>
    <mergeCell ref="C53:D53"/>
    <mergeCell ref="I14:J14"/>
    <mergeCell ref="I16:J16"/>
    <mergeCell ref="I23:J23"/>
    <mergeCell ref="K16:L16"/>
    <mergeCell ref="M20:N20"/>
    <mergeCell ref="M21:N21"/>
    <mergeCell ref="M30:N30"/>
    <mergeCell ref="K21:L21"/>
    <mergeCell ref="K22:L22"/>
    <mergeCell ref="K27:L27"/>
    <mergeCell ref="K28:L28"/>
    <mergeCell ref="K23:L23"/>
    <mergeCell ref="M29:N29"/>
    <mergeCell ref="M26:N26"/>
    <mergeCell ref="M25:N25"/>
    <mergeCell ref="M27:N27"/>
    <mergeCell ref="K26:L26"/>
    <mergeCell ref="M28:N28"/>
    <mergeCell ref="K30:L30"/>
    <mergeCell ref="K29:L29"/>
    <mergeCell ref="M17:N17"/>
    <mergeCell ref="K14:L14"/>
    <mergeCell ref="M14:N14"/>
    <mergeCell ref="M22:N22"/>
    <mergeCell ref="M23:N23"/>
    <mergeCell ref="K17:L17"/>
    <mergeCell ref="K20:L20"/>
    <mergeCell ref="K19:L19"/>
    <mergeCell ref="K18:L18"/>
    <mergeCell ref="A32:B32"/>
    <mergeCell ref="A34:B34"/>
    <mergeCell ref="G28:H28"/>
    <mergeCell ref="G27:H27"/>
    <mergeCell ref="E34:F34"/>
    <mergeCell ref="C28:D28"/>
    <mergeCell ref="C27:D27"/>
    <mergeCell ref="C29:D29"/>
    <mergeCell ref="E30:F30"/>
    <mergeCell ref="E29:F29"/>
    <mergeCell ref="C30:D30"/>
    <mergeCell ref="C34:D34"/>
    <mergeCell ref="C32:D32"/>
    <mergeCell ref="C31:D31"/>
    <mergeCell ref="A27:B27"/>
    <mergeCell ref="A28:B28"/>
    <mergeCell ref="E32:F32"/>
    <mergeCell ref="G26:H26"/>
    <mergeCell ref="G25:H25"/>
    <mergeCell ref="G18:H18"/>
    <mergeCell ref="G19:H19"/>
    <mergeCell ref="G34:H34"/>
    <mergeCell ref="I27:J27"/>
    <mergeCell ref="I26:J26"/>
    <mergeCell ref="I25:J25"/>
    <mergeCell ref="G32:H32"/>
    <mergeCell ref="I34:J34"/>
    <mergeCell ref="I32:J32"/>
    <mergeCell ref="G23:H23"/>
    <mergeCell ref="C35:D35"/>
    <mergeCell ref="E36:F36"/>
    <mergeCell ref="G41:H41"/>
    <mergeCell ref="G40:H40"/>
    <mergeCell ref="G37:H37"/>
    <mergeCell ref="G39:H39"/>
    <mergeCell ref="E37:F37"/>
    <mergeCell ref="C37:D37"/>
    <mergeCell ref="A37:B37"/>
    <mergeCell ref="A36:B36"/>
    <mergeCell ref="C36:D36"/>
    <mergeCell ref="G36:H36"/>
    <mergeCell ref="A35:B35"/>
    <mergeCell ref="G35:H35"/>
    <mergeCell ref="E35:F35"/>
    <mergeCell ref="G38:H38"/>
    <mergeCell ref="A45:B45"/>
    <mergeCell ref="A46:B46"/>
    <mergeCell ref="E48:F48"/>
    <mergeCell ref="C38:D38"/>
    <mergeCell ref="C41:D41"/>
    <mergeCell ref="C40:D40"/>
    <mergeCell ref="C39:D39"/>
    <mergeCell ref="E43:F43"/>
    <mergeCell ref="E41:F41"/>
    <mergeCell ref="E38:F38"/>
    <mergeCell ref="E40:F40"/>
    <mergeCell ref="A38:B38"/>
    <mergeCell ref="A39:B39"/>
    <mergeCell ref="A40:B40"/>
    <mergeCell ref="A41:B41"/>
    <mergeCell ref="E39:F39"/>
    <mergeCell ref="A43:B43"/>
    <mergeCell ref="C43:D43"/>
    <mergeCell ref="E44:F44"/>
    <mergeCell ref="C44:D44"/>
    <mergeCell ref="A44:B44"/>
    <mergeCell ref="K48:L48"/>
    <mergeCell ref="I47:J47"/>
    <mergeCell ref="G47:H47"/>
    <mergeCell ref="M47:N47"/>
    <mergeCell ref="K47:L47"/>
    <mergeCell ref="I48:J48"/>
    <mergeCell ref="G49:H49"/>
    <mergeCell ref="M49:N49"/>
    <mergeCell ref="I49:J49"/>
    <mergeCell ref="M48:N48"/>
    <mergeCell ref="G48:H48"/>
    <mergeCell ref="M31:N31"/>
    <mergeCell ref="M32:N32"/>
    <mergeCell ref="K39:L39"/>
    <mergeCell ref="K38:L38"/>
    <mergeCell ref="K32:L32"/>
    <mergeCell ref="K35:L35"/>
    <mergeCell ref="K34:L34"/>
    <mergeCell ref="M35:N35"/>
    <mergeCell ref="M34:N34"/>
    <mergeCell ref="M37:N37"/>
    <mergeCell ref="M36:N36"/>
    <mergeCell ref="K37:L37"/>
    <mergeCell ref="K31:L31"/>
    <mergeCell ref="K36:L36"/>
    <mergeCell ref="M10:N10"/>
    <mergeCell ref="C23:D23"/>
    <mergeCell ref="C22:D22"/>
    <mergeCell ref="C21:D21"/>
    <mergeCell ref="G21:H21"/>
    <mergeCell ref="G16:H16"/>
    <mergeCell ref="I17:J17"/>
    <mergeCell ref="G17:H17"/>
    <mergeCell ref="C20:D20"/>
    <mergeCell ref="C17:D17"/>
    <mergeCell ref="C18:D18"/>
    <mergeCell ref="C19:D19"/>
    <mergeCell ref="I21:J21"/>
    <mergeCell ref="G20:H20"/>
    <mergeCell ref="I20:J20"/>
    <mergeCell ref="I18:J18"/>
    <mergeCell ref="I19:J19"/>
    <mergeCell ref="G10:H10"/>
    <mergeCell ref="G22:H22"/>
    <mergeCell ref="C10:D10"/>
    <mergeCell ref="E10:F10"/>
    <mergeCell ref="M16:N16"/>
    <mergeCell ref="M18:N18"/>
    <mergeCell ref="M19:N19"/>
    <mergeCell ref="I10:J10"/>
    <mergeCell ref="K10:L10"/>
    <mergeCell ref="G14:H14"/>
    <mergeCell ref="M44:N44"/>
    <mergeCell ref="K43:L43"/>
    <mergeCell ref="K44:L44"/>
    <mergeCell ref="I43:J43"/>
    <mergeCell ref="I44:J44"/>
    <mergeCell ref="M38:N38"/>
    <mergeCell ref="I39:J39"/>
    <mergeCell ref="I38:J38"/>
    <mergeCell ref="I40:J40"/>
    <mergeCell ref="I41:J41"/>
    <mergeCell ref="K41:L41"/>
    <mergeCell ref="K40:L40"/>
    <mergeCell ref="G44:H44"/>
    <mergeCell ref="G43:H43"/>
    <mergeCell ref="M43:N43"/>
    <mergeCell ref="M40:N40"/>
    <mergeCell ref="M39:N39"/>
    <mergeCell ref="M41:N41"/>
    <mergeCell ref="I35:J35"/>
    <mergeCell ref="I37:J37"/>
    <mergeCell ref="I36:J36"/>
    <mergeCell ref="A53:B53"/>
    <mergeCell ref="A52:B52"/>
    <mergeCell ref="A50:B50"/>
    <mergeCell ref="M45:N45"/>
    <mergeCell ref="K45:L45"/>
    <mergeCell ref="G45:H45"/>
    <mergeCell ref="I46:J46"/>
    <mergeCell ref="K46:L46"/>
    <mergeCell ref="G46:H46"/>
    <mergeCell ref="M46:N46"/>
    <mergeCell ref="I45:J45"/>
    <mergeCell ref="C49:D49"/>
    <mergeCell ref="A49:B49"/>
    <mergeCell ref="C48:D48"/>
    <mergeCell ref="A48:B48"/>
    <mergeCell ref="C47:D47"/>
    <mergeCell ref="A47:B47"/>
    <mergeCell ref="E46:F46"/>
    <mergeCell ref="E45:F45"/>
    <mergeCell ref="C46:D46"/>
    <mergeCell ref="C45:D45"/>
    <mergeCell ref="E47:F47"/>
    <mergeCell ref="E49:F49"/>
    <mergeCell ref="K49:L49"/>
    <mergeCell ref="A10:B10"/>
    <mergeCell ref="K25:L25"/>
    <mergeCell ref="E31:F31"/>
    <mergeCell ref="G31:H31"/>
    <mergeCell ref="G30:H30"/>
    <mergeCell ref="G29:H29"/>
    <mergeCell ref="I29:J29"/>
    <mergeCell ref="I30:J30"/>
    <mergeCell ref="I31:J31"/>
    <mergeCell ref="I22:J22"/>
    <mergeCell ref="I28:J28"/>
    <mergeCell ref="A21:B21"/>
    <mergeCell ref="A23:B23"/>
    <mergeCell ref="A22:B22"/>
    <mergeCell ref="A20:B20"/>
    <mergeCell ref="A17:B17"/>
    <mergeCell ref="A19:B19"/>
    <mergeCell ref="A18:B18"/>
    <mergeCell ref="E27:F27"/>
    <mergeCell ref="E28:F28"/>
    <mergeCell ref="A29:B29"/>
    <mergeCell ref="A31:B31"/>
    <mergeCell ref="A30:B30"/>
    <mergeCell ref="K11:L11"/>
  </mergeCells>
  <printOptions horizontalCentered="1" gridLines="1"/>
  <pageMargins left="0.5" right="0.5" top="0.25" bottom="0.25" header="0" footer="0"/>
  <pageSetup scale="80" pageOrder="overThenDown" orientation="portrait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  <pageSetUpPr fitToPage="1"/>
  </sheetPr>
  <dimension ref="A1:N58"/>
  <sheetViews>
    <sheetView showGridLines="0" topLeftCell="A23" workbookViewId="0">
      <selection activeCell="A43" sqref="A43:N46"/>
    </sheetView>
  </sheetViews>
  <sheetFormatPr defaultColWidth="12.5703125" defaultRowHeight="12.75" customHeight="1"/>
  <cols>
    <col min="1" max="1" width="3.85546875" customWidth="1"/>
    <col min="2" max="2" width="13.42578125" customWidth="1"/>
    <col min="3" max="3" width="3.85546875" customWidth="1"/>
    <col min="4" max="4" width="13.42578125" customWidth="1"/>
    <col min="5" max="5" width="3.85546875" customWidth="1"/>
    <col min="6" max="6" width="13.42578125" customWidth="1"/>
    <col min="7" max="7" width="3.85546875" customWidth="1"/>
    <col min="8" max="8" width="13.42578125" customWidth="1"/>
    <col min="9" max="9" width="3.85546875" customWidth="1"/>
    <col min="10" max="10" width="15.42578125" customWidth="1"/>
    <col min="11" max="11" width="3.85546875" customWidth="1"/>
    <col min="12" max="12" width="13.42578125" customWidth="1"/>
    <col min="13" max="13" width="3.85546875" customWidth="1"/>
    <col min="14" max="14" width="13.42578125" customWidth="1"/>
  </cols>
  <sheetData>
    <row r="1" spans="1:14" ht="18" customHeight="1">
      <c r="A1" s="36">
        <f>EDATE('©'!A17,45)</f>
        <v>46478</v>
      </c>
      <c r="B1" s="37"/>
      <c r="C1" s="1"/>
      <c r="D1" s="1"/>
      <c r="E1" s="1"/>
      <c r="F1" s="1"/>
      <c r="G1" s="1"/>
      <c r="H1" s="1"/>
      <c r="I1" s="1"/>
      <c r="J1" s="1"/>
      <c r="K1" s="38" t="s">
        <v>0</v>
      </c>
      <c r="L1" s="37"/>
      <c r="M1" s="37"/>
      <c r="N1" s="37"/>
    </row>
    <row r="2" spans="1:14" ht="18" customHeight="1">
      <c r="A2" s="39" t="s">
        <v>166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1:14" ht="18" customHeight="1">
      <c r="A3" s="29" t="s">
        <v>167</v>
      </c>
      <c r="B3" s="37"/>
      <c r="C3" s="27" t="s">
        <v>168</v>
      </c>
      <c r="D3" s="37"/>
      <c r="E3" s="19" t="s">
        <v>169</v>
      </c>
      <c r="F3" s="37"/>
      <c r="G3" s="21" t="s">
        <v>170</v>
      </c>
      <c r="H3" s="37"/>
      <c r="I3" s="56" t="s">
        <v>171</v>
      </c>
      <c r="J3" s="37"/>
      <c r="K3" s="23" t="s">
        <v>172</v>
      </c>
      <c r="L3" s="37"/>
      <c r="M3" s="25" t="s">
        <v>173</v>
      </c>
      <c r="N3" s="37"/>
    </row>
    <row r="4" spans="1:14" ht="69" customHeight="1">
      <c r="A4" s="42" t="str">
        <f>UPPER(TEXT(A1,"mmmm yyyy"))</f>
        <v>APRIL 2027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</row>
    <row r="5" spans="1:14" ht="18" customHeight="1">
      <c r="A5" s="40">
        <f>A15</f>
        <v>46482</v>
      </c>
      <c r="B5" s="41"/>
      <c r="C5" s="40">
        <f>C15</f>
        <v>46483</v>
      </c>
      <c r="D5" s="41"/>
      <c r="E5" s="40">
        <f>E15</f>
        <v>46484</v>
      </c>
      <c r="F5" s="41"/>
      <c r="G5" s="40">
        <f>G15</f>
        <v>46485</v>
      </c>
      <c r="H5" s="41"/>
      <c r="I5" s="40">
        <f>I15</f>
        <v>46486</v>
      </c>
      <c r="J5" s="41"/>
      <c r="K5" s="40">
        <f>K15</f>
        <v>46487</v>
      </c>
      <c r="L5" s="41"/>
      <c r="M5" s="40">
        <f>M15</f>
        <v>46488</v>
      </c>
      <c r="N5" s="41"/>
    </row>
    <row r="6" spans="1:14" ht="18" customHeight="1">
      <c r="A6" s="2" t="str">
        <f>IF(WEEKDAY($A$1,1)=startday,$A$1,"")</f>
        <v/>
      </c>
      <c r="B6" s="3"/>
      <c r="C6" s="2" t="str">
        <f>IF(A6="",IF(WEEKDAY($A$1,1)=MOD(startday,7)+1,$A$1,""),A6+1)</f>
        <v/>
      </c>
      <c r="D6" s="3"/>
      <c r="E6" s="2" t="str">
        <f>IF(C6="",IF(WEEKDAY($A$1,1)=MOD(startday,7)+2,$A$1,""),C6+1)</f>
        <v/>
      </c>
      <c r="F6" s="3"/>
      <c r="G6" s="2">
        <f>IF(E6="",IF(WEEKDAY($A$1,1)=MOD(startday,7)+3,$A$1,""),E6+1)</f>
        <v>46478</v>
      </c>
      <c r="H6" s="3"/>
      <c r="I6" s="2">
        <f>IF(G6="",IF(WEEKDAY($A$1,1)=MOD(startday,7)+4,$A$1,""),G6+1)</f>
        <v>46479</v>
      </c>
      <c r="J6" s="3"/>
      <c r="K6" s="4">
        <f>IF(I6="",IF(WEEKDAY($A$1,1)=MOD(startday,7)+5,$A$1,""),I6+1)</f>
        <v>46480</v>
      </c>
      <c r="L6" s="5"/>
      <c r="M6" s="4">
        <f>IF(K6="",IF(WEEKDAY($A$1,1)=MOD(startday+5,7)+1,$A$1,""),K6+1)</f>
        <v>46481</v>
      </c>
      <c r="N6" s="5"/>
    </row>
    <row r="7" spans="1:14" ht="18" customHeight="1">
      <c r="A7" s="29" t="s">
        <v>205</v>
      </c>
      <c r="B7" s="20"/>
      <c r="C7" s="29" t="s">
        <v>205</v>
      </c>
      <c r="D7" s="20"/>
      <c r="E7" s="29" t="s">
        <v>205</v>
      </c>
      <c r="F7" s="20"/>
      <c r="G7" s="29" t="s">
        <v>205</v>
      </c>
      <c r="H7" s="20"/>
      <c r="I7" s="29" t="s">
        <v>205</v>
      </c>
      <c r="J7" s="20"/>
      <c r="K7" s="29" t="s">
        <v>205</v>
      </c>
      <c r="L7" s="20"/>
      <c r="M7" s="29" t="s">
        <v>205</v>
      </c>
      <c r="N7" s="20"/>
    </row>
    <row r="8" spans="1:14" ht="18" customHeight="1">
      <c r="A8" s="27" t="s">
        <v>174</v>
      </c>
      <c r="B8" s="20"/>
      <c r="C8" s="27" t="s">
        <v>174</v>
      </c>
      <c r="D8" s="20"/>
      <c r="E8" s="27" t="s">
        <v>174</v>
      </c>
      <c r="F8" s="20"/>
      <c r="G8" s="27" t="s">
        <v>174</v>
      </c>
      <c r="H8" s="20"/>
      <c r="I8" s="27" t="s">
        <v>174</v>
      </c>
      <c r="J8" s="20"/>
      <c r="K8" s="26"/>
      <c r="L8" s="20"/>
      <c r="M8" s="26"/>
      <c r="N8" s="20"/>
    </row>
    <row r="9" spans="1:14" ht="18" customHeight="1">
      <c r="A9" s="19" t="s">
        <v>176</v>
      </c>
      <c r="B9" s="20"/>
      <c r="C9" s="19" t="s">
        <v>176</v>
      </c>
      <c r="D9" s="20"/>
      <c r="E9" s="19" t="s">
        <v>176</v>
      </c>
      <c r="F9" s="20"/>
      <c r="G9" s="19" t="s">
        <v>176</v>
      </c>
      <c r="H9" s="20"/>
      <c r="I9" s="19" t="s">
        <v>176</v>
      </c>
      <c r="J9" s="20"/>
      <c r="K9" s="19" t="s">
        <v>176</v>
      </c>
      <c r="L9" s="20"/>
      <c r="M9" s="19" t="s">
        <v>176</v>
      </c>
      <c r="N9" s="20"/>
    </row>
    <row r="10" spans="1:14" ht="18" customHeight="1">
      <c r="A10" s="21" t="s">
        <v>177</v>
      </c>
      <c r="B10" s="20"/>
      <c r="C10" s="21" t="s">
        <v>177</v>
      </c>
      <c r="D10" s="20"/>
      <c r="E10" s="21" t="s">
        <v>177</v>
      </c>
      <c r="F10" s="20"/>
      <c r="G10" s="21" t="s">
        <v>177</v>
      </c>
      <c r="H10" s="20"/>
      <c r="I10" s="21" t="s">
        <v>177</v>
      </c>
      <c r="J10" s="20"/>
      <c r="K10" s="30"/>
      <c r="L10" s="20"/>
      <c r="M10" s="30"/>
      <c r="N10" s="20"/>
    </row>
    <row r="11" spans="1:14" ht="18" customHeight="1">
      <c r="A11" s="56"/>
      <c r="B11" s="20"/>
      <c r="C11" s="57"/>
      <c r="D11" s="20"/>
      <c r="E11" s="56"/>
      <c r="F11" s="20"/>
      <c r="G11" s="56"/>
      <c r="H11" s="20"/>
      <c r="I11" s="56"/>
      <c r="J11" s="20"/>
      <c r="K11" s="56"/>
      <c r="L11" s="20"/>
      <c r="M11" s="56"/>
      <c r="N11" s="20"/>
    </row>
    <row r="12" spans="1:14" ht="18" customHeight="1">
      <c r="A12" s="23"/>
      <c r="B12" s="20"/>
      <c r="C12" s="22"/>
      <c r="D12" s="20"/>
      <c r="E12" s="23"/>
      <c r="F12" s="20"/>
      <c r="G12" s="22"/>
      <c r="H12" s="20"/>
      <c r="I12" s="22"/>
      <c r="J12" s="20"/>
      <c r="K12" s="22"/>
      <c r="L12" s="20"/>
      <c r="M12" s="22"/>
      <c r="N12" s="20"/>
    </row>
    <row r="13" spans="1:14" ht="18" customHeight="1">
      <c r="A13" s="25"/>
      <c r="B13" s="20"/>
      <c r="C13" s="25"/>
      <c r="D13" s="20"/>
      <c r="E13" s="25"/>
      <c r="F13" s="20"/>
      <c r="G13" s="25"/>
      <c r="H13" s="20"/>
      <c r="I13" s="25"/>
      <c r="J13" s="20"/>
      <c r="K13" s="25"/>
      <c r="L13" s="20"/>
      <c r="M13" s="25"/>
      <c r="N13" s="20"/>
    </row>
    <row r="14" spans="1:14" ht="18" customHeight="1">
      <c r="A14" s="58"/>
      <c r="B14" s="24"/>
      <c r="C14" s="58"/>
      <c r="D14" s="24"/>
      <c r="E14" s="58"/>
      <c r="F14" s="24"/>
      <c r="G14" s="58"/>
      <c r="H14" s="24"/>
      <c r="I14" s="58"/>
      <c r="J14" s="24"/>
      <c r="K14" s="58"/>
      <c r="L14" s="24"/>
      <c r="M14" s="58"/>
      <c r="N14" s="24"/>
    </row>
    <row r="15" spans="1:14" ht="18" customHeight="1">
      <c r="A15" s="2">
        <f>M6+1</f>
        <v>46482</v>
      </c>
      <c r="B15" s="3"/>
      <c r="C15" s="2">
        <f>A15+1</f>
        <v>46483</v>
      </c>
      <c r="D15" s="3"/>
      <c r="E15" s="2">
        <f>C15+1</f>
        <v>46484</v>
      </c>
      <c r="F15" s="3"/>
      <c r="G15" s="2">
        <f>E15+1</f>
        <v>46485</v>
      </c>
      <c r="H15" s="3"/>
      <c r="I15" s="2">
        <f>G15+1</f>
        <v>46486</v>
      </c>
      <c r="J15" s="3"/>
      <c r="K15" s="4">
        <f>I15+1</f>
        <v>46487</v>
      </c>
      <c r="L15" s="5"/>
      <c r="M15" s="4">
        <f>K15+1</f>
        <v>46488</v>
      </c>
      <c r="N15" s="5"/>
    </row>
    <row r="16" spans="1:14" ht="18" customHeight="1">
      <c r="A16" s="50" t="s">
        <v>201</v>
      </c>
      <c r="B16" s="51"/>
      <c r="C16" s="50" t="s">
        <v>201</v>
      </c>
      <c r="D16" s="51"/>
      <c r="E16" s="50" t="s">
        <v>201</v>
      </c>
      <c r="F16" s="51"/>
      <c r="G16" s="50" t="s">
        <v>201</v>
      </c>
      <c r="H16" s="51"/>
      <c r="I16" s="50" t="s">
        <v>201</v>
      </c>
      <c r="J16" s="51"/>
      <c r="K16" s="50" t="s">
        <v>201</v>
      </c>
      <c r="L16" s="51"/>
      <c r="M16" s="50" t="s">
        <v>201</v>
      </c>
      <c r="N16" s="51"/>
    </row>
    <row r="17" spans="1:14" ht="18" customHeight="1">
      <c r="A17" s="27" t="s">
        <v>178</v>
      </c>
      <c r="B17" s="28"/>
      <c r="C17" s="27" t="s">
        <v>178</v>
      </c>
      <c r="D17" s="28"/>
      <c r="E17" s="27" t="s">
        <v>178</v>
      </c>
      <c r="F17" s="28"/>
      <c r="G17" s="27" t="s">
        <v>178</v>
      </c>
      <c r="H17" s="28"/>
      <c r="I17" s="27" t="s">
        <v>178</v>
      </c>
      <c r="J17" s="28"/>
      <c r="K17" s="26"/>
      <c r="L17" s="20"/>
      <c r="M17" s="26"/>
      <c r="N17" s="20"/>
    </row>
    <row r="18" spans="1:14" ht="18" customHeight="1">
      <c r="A18" s="19" t="s">
        <v>177</v>
      </c>
      <c r="B18" s="20"/>
      <c r="C18" s="19" t="s">
        <v>177</v>
      </c>
      <c r="D18" s="20"/>
      <c r="E18" s="19" t="s">
        <v>177</v>
      </c>
      <c r="F18" s="20"/>
      <c r="G18" s="19" t="s">
        <v>177</v>
      </c>
      <c r="H18" s="20"/>
      <c r="I18" s="19" t="s">
        <v>177</v>
      </c>
      <c r="J18" s="20"/>
      <c r="K18" s="19" t="s">
        <v>177</v>
      </c>
      <c r="L18" s="20"/>
      <c r="M18" s="19" t="s">
        <v>177</v>
      </c>
      <c r="N18" s="20"/>
    </row>
    <row r="19" spans="1:14" ht="18" customHeight="1">
      <c r="A19" s="21" t="s">
        <v>206</v>
      </c>
      <c r="B19" s="20"/>
      <c r="C19" s="21" t="s">
        <v>206</v>
      </c>
      <c r="D19" s="20"/>
      <c r="E19" s="21" t="s">
        <v>206</v>
      </c>
      <c r="F19" s="20"/>
      <c r="G19" s="21" t="s">
        <v>206</v>
      </c>
      <c r="H19" s="20"/>
      <c r="I19" s="21" t="s">
        <v>206</v>
      </c>
      <c r="J19" s="20"/>
      <c r="K19" s="21" t="s">
        <v>206</v>
      </c>
      <c r="L19" s="20"/>
      <c r="M19" s="21" t="s">
        <v>206</v>
      </c>
      <c r="N19" s="20"/>
    </row>
    <row r="20" spans="1:14" ht="18" customHeight="1">
      <c r="A20" s="56"/>
      <c r="B20" s="20"/>
      <c r="C20" s="56"/>
      <c r="D20" s="20"/>
      <c r="E20" s="56"/>
      <c r="F20" s="20"/>
      <c r="G20" s="56"/>
      <c r="H20" s="20"/>
      <c r="I20" s="56"/>
      <c r="J20" s="20"/>
      <c r="K20" s="56"/>
      <c r="L20" s="20"/>
      <c r="M20" s="56"/>
      <c r="N20" s="20"/>
    </row>
    <row r="21" spans="1:14" ht="18" customHeight="1">
      <c r="A21" s="23"/>
      <c r="B21" s="20"/>
      <c r="C21" s="22"/>
      <c r="D21" s="20"/>
      <c r="E21" s="23"/>
      <c r="F21" s="20"/>
      <c r="G21" s="22"/>
      <c r="H21" s="20"/>
      <c r="I21" s="22"/>
      <c r="J21" s="20"/>
      <c r="K21" s="22"/>
      <c r="L21" s="20"/>
      <c r="M21" s="22"/>
      <c r="N21" s="20"/>
    </row>
    <row r="22" spans="1:14" ht="18" customHeight="1">
      <c r="A22" s="25"/>
      <c r="B22" s="20"/>
      <c r="C22" s="25"/>
      <c r="D22" s="20"/>
      <c r="E22" s="25"/>
      <c r="F22" s="20"/>
      <c r="G22" s="25"/>
      <c r="H22" s="20"/>
      <c r="I22" s="25"/>
      <c r="J22" s="20"/>
      <c r="K22" s="25"/>
      <c r="L22" s="20"/>
      <c r="M22" s="25"/>
      <c r="N22" s="20"/>
    </row>
    <row r="23" spans="1:14" ht="18" customHeight="1">
      <c r="A23" s="58"/>
      <c r="B23" s="24"/>
      <c r="C23" s="58"/>
      <c r="D23" s="24"/>
      <c r="E23" s="58"/>
      <c r="F23" s="24"/>
      <c r="G23" s="58"/>
      <c r="H23" s="24"/>
      <c r="I23" s="58"/>
      <c r="J23" s="24"/>
      <c r="K23" s="58"/>
      <c r="L23" s="24"/>
      <c r="M23" s="58"/>
      <c r="N23" s="24"/>
    </row>
    <row r="24" spans="1:14" ht="18" customHeight="1">
      <c r="A24" s="2">
        <f>M15+1</f>
        <v>46489</v>
      </c>
      <c r="B24" s="3"/>
      <c r="C24" s="2">
        <f>A24+1</f>
        <v>46490</v>
      </c>
      <c r="D24" s="3"/>
      <c r="E24" s="2">
        <f>C24+1</f>
        <v>46491</v>
      </c>
      <c r="F24" s="3"/>
      <c r="G24" s="2">
        <f>E24+1</f>
        <v>46492</v>
      </c>
      <c r="H24" s="3"/>
      <c r="I24" s="2">
        <f>G24+1</f>
        <v>46493</v>
      </c>
      <c r="J24" s="3"/>
      <c r="K24" s="4">
        <f>I24+1</f>
        <v>46494</v>
      </c>
      <c r="L24" s="5"/>
      <c r="M24" s="4">
        <f>K24+1</f>
        <v>46495</v>
      </c>
      <c r="N24" s="5"/>
    </row>
    <row r="25" spans="1:14" ht="18" customHeight="1">
      <c r="A25" s="29" t="s">
        <v>194</v>
      </c>
      <c r="B25" s="20"/>
      <c r="C25" s="29" t="s">
        <v>194</v>
      </c>
      <c r="D25" s="20"/>
      <c r="E25" s="29" t="s">
        <v>194</v>
      </c>
      <c r="F25" s="20"/>
      <c r="G25" s="29" t="s">
        <v>194</v>
      </c>
      <c r="H25" s="20"/>
      <c r="I25" s="29" t="s">
        <v>194</v>
      </c>
      <c r="J25" s="20"/>
      <c r="K25" s="29" t="s">
        <v>194</v>
      </c>
      <c r="L25" s="20"/>
      <c r="M25" s="29" t="s">
        <v>194</v>
      </c>
      <c r="N25" s="20"/>
    </row>
    <row r="26" spans="1:14" ht="18" customHeight="1">
      <c r="A26" s="27" t="s">
        <v>210</v>
      </c>
      <c r="B26" s="20"/>
      <c r="C26" s="27" t="s">
        <v>210</v>
      </c>
      <c r="D26" s="20"/>
      <c r="E26" s="27" t="s">
        <v>210</v>
      </c>
      <c r="F26" s="20"/>
      <c r="G26" s="27" t="s">
        <v>210</v>
      </c>
      <c r="H26" s="20"/>
      <c r="I26" s="27" t="s">
        <v>210</v>
      </c>
      <c r="J26" s="20"/>
      <c r="K26" s="26"/>
      <c r="L26" s="20"/>
      <c r="M26" s="26"/>
      <c r="N26" s="20"/>
    </row>
    <row r="27" spans="1:14" ht="18" customHeight="1">
      <c r="A27" s="19" t="s">
        <v>187</v>
      </c>
      <c r="B27" s="20"/>
      <c r="C27" s="19" t="s">
        <v>187</v>
      </c>
      <c r="D27" s="20"/>
      <c r="E27" s="19" t="s">
        <v>187</v>
      </c>
      <c r="F27" s="20"/>
      <c r="G27" s="19" t="s">
        <v>187</v>
      </c>
      <c r="H27" s="20"/>
      <c r="I27" s="19" t="s">
        <v>187</v>
      </c>
      <c r="J27" s="20"/>
      <c r="K27" s="19" t="s">
        <v>187</v>
      </c>
      <c r="L27" s="20"/>
      <c r="M27" s="19" t="s">
        <v>187</v>
      </c>
      <c r="N27" s="20"/>
    </row>
    <row r="28" spans="1:14" ht="18" customHeight="1">
      <c r="A28" s="21" t="s">
        <v>202</v>
      </c>
      <c r="B28" s="20"/>
      <c r="C28" s="21" t="s">
        <v>202</v>
      </c>
      <c r="D28" s="20"/>
      <c r="E28" s="21" t="s">
        <v>202</v>
      </c>
      <c r="F28" s="20"/>
      <c r="G28" s="21" t="s">
        <v>202</v>
      </c>
      <c r="H28" s="20"/>
      <c r="I28" s="21" t="s">
        <v>202</v>
      </c>
      <c r="J28" s="20"/>
      <c r="K28" s="21"/>
      <c r="L28" s="20"/>
      <c r="M28" s="21"/>
      <c r="N28" s="20"/>
    </row>
    <row r="29" spans="1:14" ht="18" customHeight="1">
      <c r="A29" s="56"/>
      <c r="B29" s="20"/>
      <c r="C29" s="56"/>
      <c r="D29" s="20"/>
      <c r="E29" s="56"/>
      <c r="F29" s="20"/>
      <c r="G29" s="56"/>
      <c r="H29" s="20"/>
      <c r="I29" s="56"/>
      <c r="J29" s="20"/>
      <c r="K29" s="56"/>
      <c r="L29" s="20"/>
      <c r="M29" s="56"/>
      <c r="N29" s="20"/>
    </row>
    <row r="30" spans="1:14" ht="18" customHeight="1">
      <c r="A30" s="23"/>
      <c r="B30" s="20"/>
      <c r="C30" s="22"/>
      <c r="D30" s="20"/>
      <c r="E30" s="23"/>
      <c r="F30" s="20"/>
      <c r="G30" s="22"/>
      <c r="H30" s="20"/>
      <c r="I30" s="22"/>
      <c r="J30" s="20"/>
      <c r="K30" s="22"/>
      <c r="L30" s="20"/>
      <c r="M30" s="22"/>
      <c r="N30" s="20"/>
    </row>
    <row r="31" spans="1:14" ht="18" customHeight="1">
      <c r="A31" s="25"/>
      <c r="B31" s="20"/>
      <c r="C31" s="25"/>
      <c r="D31" s="20"/>
      <c r="E31" s="25"/>
      <c r="F31" s="20"/>
      <c r="G31" s="25"/>
      <c r="H31" s="20"/>
      <c r="I31" s="25"/>
      <c r="J31" s="20"/>
      <c r="K31" s="25"/>
      <c r="L31" s="20"/>
      <c r="M31" s="25"/>
      <c r="N31" s="20"/>
    </row>
    <row r="32" spans="1:14" ht="18" customHeight="1">
      <c r="A32" s="58"/>
      <c r="B32" s="24"/>
      <c r="C32" s="58"/>
      <c r="D32" s="24"/>
      <c r="E32" s="58"/>
      <c r="F32" s="24"/>
      <c r="G32" s="58"/>
      <c r="H32" s="24"/>
      <c r="I32" s="58"/>
      <c r="J32" s="24"/>
      <c r="K32" s="58"/>
      <c r="L32" s="24"/>
      <c r="M32" s="58"/>
      <c r="N32" s="24"/>
    </row>
    <row r="33" spans="1:14" ht="18" customHeight="1">
      <c r="A33" s="2">
        <f>M24+1</f>
        <v>46496</v>
      </c>
      <c r="B33" s="3"/>
      <c r="C33" s="2">
        <f>A33+1</f>
        <v>46497</v>
      </c>
      <c r="D33" s="3"/>
      <c r="E33" s="2">
        <f>C33+1</f>
        <v>46498</v>
      </c>
      <c r="F33" s="3"/>
      <c r="G33" s="2">
        <f>E33+1</f>
        <v>46499</v>
      </c>
      <c r="H33" s="3"/>
      <c r="I33" s="2">
        <f>G33+1</f>
        <v>46500</v>
      </c>
      <c r="J33" s="3"/>
      <c r="K33" s="4">
        <f>I33+1</f>
        <v>46501</v>
      </c>
      <c r="L33" s="5"/>
      <c r="M33" s="4">
        <f>K33+1</f>
        <v>46502</v>
      </c>
      <c r="N33" s="5"/>
    </row>
    <row r="34" spans="1:14" ht="18" customHeight="1">
      <c r="A34" s="29" t="s">
        <v>43</v>
      </c>
      <c r="B34" s="20"/>
      <c r="C34" s="29" t="s">
        <v>43</v>
      </c>
      <c r="D34" s="20"/>
      <c r="E34" s="29" t="s">
        <v>43</v>
      </c>
      <c r="F34" s="20"/>
      <c r="G34" s="29" t="s">
        <v>43</v>
      </c>
      <c r="H34" s="20"/>
      <c r="I34" s="29" t="s">
        <v>43</v>
      </c>
      <c r="J34" s="20"/>
      <c r="K34" s="29" t="s">
        <v>43</v>
      </c>
      <c r="L34" s="20"/>
      <c r="M34" s="29" t="s">
        <v>43</v>
      </c>
      <c r="N34" s="20"/>
    </row>
    <row r="35" spans="1:14" ht="18" customHeight="1">
      <c r="A35" s="27" t="s">
        <v>178</v>
      </c>
      <c r="B35" s="20"/>
      <c r="C35" s="27" t="s">
        <v>178</v>
      </c>
      <c r="D35" s="20"/>
      <c r="E35" s="27" t="s">
        <v>178</v>
      </c>
      <c r="F35" s="20"/>
      <c r="G35" s="27" t="s">
        <v>178</v>
      </c>
      <c r="H35" s="20"/>
      <c r="I35" s="27" t="s">
        <v>178</v>
      </c>
      <c r="J35" s="20"/>
      <c r="K35" s="26"/>
      <c r="L35" s="20"/>
      <c r="M35" s="26"/>
      <c r="N35" s="20"/>
    </row>
    <row r="36" spans="1:14" ht="18" customHeight="1">
      <c r="A36" s="19" t="s">
        <v>203</v>
      </c>
      <c r="B36" s="20"/>
      <c r="C36" s="19" t="s">
        <v>203</v>
      </c>
      <c r="D36" s="20"/>
      <c r="E36" s="19" t="s">
        <v>203</v>
      </c>
      <c r="F36" s="20"/>
      <c r="G36" s="19" t="s">
        <v>203</v>
      </c>
      <c r="H36" s="20"/>
      <c r="I36" s="19" t="s">
        <v>203</v>
      </c>
      <c r="J36" s="20"/>
      <c r="K36" s="19" t="s">
        <v>203</v>
      </c>
      <c r="L36" s="20"/>
      <c r="M36" s="19" t="s">
        <v>203</v>
      </c>
      <c r="N36" s="20"/>
    </row>
    <row r="37" spans="1:14" ht="18" customHeight="1">
      <c r="A37" s="21" t="s">
        <v>189</v>
      </c>
      <c r="B37" s="20"/>
      <c r="C37" s="21" t="s">
        <v>189</v>
      </c>
      <c r="D37" s="20"/>
      <c r="E37" s="21" t="s">
        <v>189</v>
      </c>
      <c r="F37" s="20"/>
      <c r="G37" s="21" t="s">
        <v>189</v>
      </c>
      <c r="H37" s="20"/>
      <c r="I37" s="21" t="s">
        <v>189</v>
      </c>
      <c r="J37" s="20"/>
      <c r="K37" s="30"/>
      <c r="L37" s="20"/>
      <c r="M37" s="30"/>
      <c r="N37" s="20"/>
    </row>
    <row r="38" spans="1:14" ht="18" customHeight="1">
      <c r="A38" s="56"/>
      <c r="B38" s="20"/>
      <c r="C38" s="56"/>
      <c r="D38" s="20"/>
      <c r="E38" s="56"/>
      <c r="F38" s="20"/>
      <c r="G38" s="56"/>
      <c r="H38" s="20"/>
      <c r="I38" s="56"/>
      <c r="J38" s="20"/>
      <c r="K38" s="56"/>
      <c r="L38" s="20"/>
      <c r="M38" s="56"/>
      <c r="N38" s="20"/>
    </row>
    <row r="39" spans="1:14" ht="18" customHeight="1">
      <c r="A39" s="23"/>
      <c r="B39" s="20"/>
      <c r="C39" s="22"/>
      <c r="D39" s="20"/>
      <c r="E39" s="23"/>
      <c r="F39" s="20"/>
      <c r="G39" s="22"/>
      <c r="H39" s="20"/>
      <c r="I39" s="22"/>
      <c r="J39" s="20"/>
      <c r="K39" s="22"/>
      <c r="L39" s="20"/>
      <c r="M39" s="22"/>
      <c r="N39" s="20"/>
    </row>
    <row r="40" spans="1:14" ht="18" customHeight="1">
      <c r="A40" s="25"/>
      <c r="B40" s="20"/>
      <c r="C40" s="25"/>
      <c r="D40" s="20"/>
      <c r="E40" s="25"/>
      <c r="F40" s="20"/>
      <c r="G40" s="25"/>
      <c r="H40" s="20"/>
      <c r="I40" s="25"/>
      <c r="J40" s="20"/>
      <c r="K40" s="25"/>
      <c r="L40" s="20"/>
      <c r="M40" s="25"/>
      <c r="N40" s="20"/>
    </row>
    <row r="41" spans="1:14" ht="18" customHeight="1">
      <c r="A41" s="58"/>
      <c r="B41" s="24"/>
      <c r="C41" s="58"/>
      <c r="D41" s="24"/>
      <c r="E41" s="58"/>
      <c r="F41" s="24"/>
      <c r="G41" s="58"/>
      <c r="H41" s="24"/>
      <c r="I41" s="58"/>
      <c r="J41" s="24"/>
      <c r="K41" s="58"/>
      <c r="L41" s="24"/>
      <c r="M41" s="58"/>
      <c r="N41" s="24"/>
    </row>
    <row r="42" spans="1:14" ht="18" customHeight="1">
      <c r="A42" s="2">
        <f>IF(M33="","",IF(MONTH(M33+1)&lt;&gt;MONTH($A$1),"",M33+1))</f>
        <v>46503</v>
      </c>
      <c r="B42" s="3"/>
      <c r="C42" s="2">
        <f>IF(A42="","",IF(MONTH(A42+1)&lt;&gt;MONTH($A$1),"",A42+1))</f>
        <v>46504</v>
      </c>
      <c r="D42" s="3"/>
      <c r="E42" s="2">
        <v>29</v>
      </c>
      <c r="F42" s="3"/>
      <c r="G42" s="2">
        <v>30</v>
      </c>
      <c r="H42" s="3"/>
      <c r="I42" s="2">
        <v>1</v>
      </c>
      <c r="J42" s="3"/>
      <c r="K42" s="4">
        <v>2</v>
      </c>
      <c r="L42" s="5"/>
      <c r="M42" s="4">
        <v>3</v>
      </c>
      <c r="N42" s="5"/>
    </row>
    <row r="43" spans="1:14" ht="18" customHeight="1">
      <c r="A43" s="29" t="s">
        <v>199</v>
      </c>
      <c r="B43" s="20"/>
      <c r="C43" s="29" t="s">
        <v>199</v>
      </c>
      <c r="D43" s="20"/>
      <c r="E43" s="29" t="s">
        <v>199</v>
      </c>
      <c r="F43" s="20"/>
      <c r="G43" s="29" t="s">
        <v>199</v>
      </c>
      <c r="H43" s="20"/>
      <c r="I43" s="29" t="s">
        <v>199</v>
      </c>
      <c r="J43" s="20"/>
      <c r="K43" s="29" t="s">
        <v>199</v>
      </c>
      <c r="L43" s="20"/>
      <c r="M43" s="29" t="s">
        <v>199</v>
      </c>
      <c r="N43" s="20"/>
    </row>
    <row r="44" spans="1:14" ht="18" customHeight="1">
      <c r="A44" s="27" t="s">
        <v>207</v>
      </c>
      <c r="B44" s="20"/>
      <c r="C44" s="27" t="s">
        <v>207</v>
      </c>
      <c r="D44" s="20"/>
      <c r="E44" s="27" t="s">
        <v>207</v>
      </c>
      <c r="F44" s="20"/>
      <c r="G44" s="27" t="s">
        <v>207</v>
      </c>
      <c r="H44" s="20"/>
      <c r="I44" s="27" t="s">
        <v>207</v>
      </c>
      <c r="J44" s="20"/>
      <c r="K44" s="26"/>
      <c r="L44" s="20"/>
      <c r="M44" s="26"/>
      <c r="N44" s="20"/>
    </row>
    <row r="45" spans="1:14" ht="18" customHeight="1">
      <c r="A45" s="19" t="s">
        <v>189</v>
      </c>
      <c r="B45" s="20"/>
      <c r="C45" s="19" t="s">
        <v>189</v>
      </c>
      <c r="D45" s="20"/>
      <c r="E45" s="19" t="s">
        <v>189</v>
      </c>
      <c r="F45" s="20"/>
      <c r="G45" s="19" t="s">
        <v>189</v>
      </c>
      <c r="H45" s="20"/>
      <c r="I45" s="19" t="s">
        <v>189</v>
      </c>
      <c r="J45" s="20"/>
      <c r="K45" s="19" t="s">
        <v>189</v>
      </c>
      <c r="L45" s="20"/>
      <c r="M45" s="19" t="s">
        <v>189</v>
      </c>
      <c r="N45" s="20"/>
    </row>
    <row r="46" spans="1:14" ht="18" customHeight="1">
      <c r="A46" s="21" t="s">
        <v>187</v>
      </c>
      <c r="B46" s="20"/>
      <c r="C46" s="21" t="s">
        <v>187</v>
      </c>
      <c r="D46" s="20"/>
      <c r="E46" s="21" t="s">
        <v>187</v>
      </c>
      <c r="F46" s="20"/>
      <c r="G46" s="21" t="s">
        <v>187</v>
      </c>
      <c r="H46" s="20"/>
      <c r="I46" s="21" t="s">
        <v>187</v>
      </c>
      <c r="J46" s="20"/>
      <c r="K46" s="30"/>
      <c r="L46" s="20"/>
      <c r="M46" s="30"/>
      <c r="N46" s="20"/>
    </row>
    <row r="47" spans="1:14" ht="18" customHeight="1">
      <c r="A47" s="56"/>
      <c r="B47" s="20"/>
      <c r="C47" s="56"/>
      <c r="D47" s="20"/>
      <c r="E47" s="56"/>
      <c r="F47" s="20"/>
      <c r="G47" s="56"/>
      <c r="H47" s="20"/>
      <c r="I47" s="56"/>
      <c r="J47" s="20"/>
      <c r="K47" s="57"/>
      <c r="L47" s="20"/>
      <c r="M47" s="57"/>
      <c r="N47" s="20"/>
    </row>
    <row r="48" spans="1:14" ht="18" customHeight="1">
      <c r="A48" s="23"/>
      <c r="B48" s="20"/>
      <c r="C48" s="22"/>
      <c r="D48" s="20"/>
      <c r="E48" s="23"/>
      <c r="F48" s="20"/>
      <c r="G48" s="22"/>
      <c r="H48" s="20"/>
      <c r="I48" s="22"/>
      <c r="J48" s="20"/>
      <c r="K48" s="22"/>
      <c r="L48" s="20"/>
      <c r="M48" s="22"/>
      <c r="N48" s="20"/>
    </row>
    <row r="49" spans="1:14" ht="18" customHeight="1">
      <c r="A49" s="25"/>
      <c r="B49" s="20"/>
      <c r="C49" s="25"/>
      <c r="D49" s="20"/>
      <c r="E49" s="25"/>
      <c r="F49" s="20"/>
      <c r="G49" s="25"/>
      <c r="H49" s="20"/>
      <c r="I49" s="25"/>
      <c r="J49" s="20"/>
      <c r="K49" s="25"/>
      <c r="L49" s="20"/>
      <c r="M49" s="25"/>
      <c r="N49" s="20"/>
    </row>
    <row r="50" spans="1:14" ht="18" customHeight="1">
      <c r="A50" s="58"/>
      <c r="B50" s="24"/>
      <c r="C50" s="58"/>
      <c r="D50" s="24"/>
      <c r="E50" s="58"/>
      <c r="F50" s="24"/>
      <c r="G50" s="58"/>
      <c r="H50" s="24"/>
      <c r="I50" s="58"/>
      <c r="J50" s="24"/>
      <c r="K50" s="58"/>
      <c r="L50" s="24"/>
      <c r="M50" s="58"/>
      <c r="N50" s="24"/>
    </row>
    <row r="51" spans="1:14" ht="18" customHeight="1">
      <c r="A51" s="2"/>
      <c r="B51" s="3"/>
      <c r="C51" s="2"/>
      <c r="D51" s="3"/>
      <c r="E51" s="46" t="s">
        <v>22</v>
      </c>
      <c r="F51" s="47"/>
      <c r="G51" s="48"/>
      <c r="H51" s="47"/>
      <c r="I51" s="47"/>
      <c r="J51" s="47"/>
      <c r="K51" s="47"/>
      <c r="L51" s="47"/>
      <c r="M51" s="47"/>
      <c r="N51" s="49"/>
    </row>
    <row r="52" spans="1:14" ht="18" customHeight="1">
      <c r="A52" s="29"/>
      <c r="B52" s="20"/>
      <c r="C52" s="44"/>
      <c r="D52" s="20"/>
      <c r="E52" s="45"/>
      <c r="F52" s="37"/>
      <c r="G52" s="37"/>
      <c r="H52" s="37"/>
      <c r="I52" s="37"/>
      <c r="J52" s="37"/>
      <c r="K52" s="37"/>
      <c r="L52" s="37"/>
      <c r="M52" s="37"/>
      <c r="N52" s="20"/>
    </row>
    <row r="53" spans="1:14" ht="18" customHeight="1">
      <c r="A53" s="27"/>
      <c r="B53" s="20"/>
      <c r="C53" s="26"/>
      <c r="D53" s="20"/>
      <c r="E53" s="45"/>
      <c r="F53" s="37"/>
      <c r="G53" s="37"/>
      <c r="H53" s="37"/>
      <c r="I53" s="37"/>
      <c r="J53" s="37"/>
      <c r="K53" s="37"/>
      <c r="L53" s="37"/>
      <c r="M53" s="37"/>
      <c r="N53" s="20"/>
    </row>
    <row r="54" spans="1:14" ht="18" customHeight="1">
      <c r="A54" s="19"/>
      <c r="B54" s="20"/>
      <c r="C54" s="35"/>
      <c r="D54" s="20"/>
      <c r="E54" s="45"/>
      <c r="F54" s="37"/>
      <c r="G54" s="37"/>
      <c r="H54" s="37"/>
      <c r="I54" s="37"/>
      <c r="J54" s="37"/>
      <c r="K54" s="37"/>
      <c r="L54" s="37"/>
      <c r="M54" s="37"/>
      <c r="N54" s="20"/>
    </row>
    <row r="55" spans="1:14" ht="18" customHeight="1">
      <c r="A55" s="21"/>
      <c r="B55" s="20"/>
      <c r="C55" s="30"/>
      <c r="D55" s="20"/>
      <c r="E55" s="6"/>
      <c r="F55" s="7"/>
      <c r="G55" s="7"/>
      <c r="H55" s="7"/>
      <c r="I55" s="7"/>
      <c r="J55" s="7"/>
      <c r="K55" s="7"/>
      <c r="L55" s="7"/>
      <c r="M55" s="7"/>
      <c r="N55" s="8"/>
    </row>
    <row r="56" spans="1:14" ht="18" customHeight="1">
      <c r="A56" s="56"/>
      <c r="B56" s="20"/>
      <c r="C56" s="57"/>
      <c r="D56" s="20"/>
      <c r="E56" s="6"/>
      <c r="F56" s="7"/>
      <c r="G56" s="7"/>
      <c r="H56" s="7"/>
      <c r="I56" s="7"/>
      <c r="J56" s="7"/>
      <c r="K56" s="7"/>
      <c r="L56" s="7"/>
      <c r="M56" s="7"/>
      <c r="N56" s="8"/>
    </row>
    <row r="57" spans="1:14" ht="18" customHeight="1">
      <c r="A57" s="23"/>
      <c r="B57" s="20"/>
      <c r="C57" s="22"/>
      <c r="D57" s="20"/>
      <c r="E57" s="6"/>
      <c r="F57" s="7"/>
      <c r="G57" s="7"/>
      <c r="H57" s="7"/>
      <c r="I57" s="7"/>
      <c r="J57" s="7"/>
      <c r="K57" s="7"/>
      <c r="L57" s="7"/>
      <c r="M57" s="7"/>
      <c r="N57" s="8"/>
    </row>
    <row r="58" spans="1:14" ht="18" customHeight="1">
      <c r="A58" s="25"/>
      <c r="B58" s="20"/>
      <c r="C58" s="31"/>
      <c r="D58" s="24"/>
      <c r="E58" s="32" t="s">
        <v>23</v>
      </c>
      <c r="F58" s="33"/>
      <c r="G58" s="33"/>
      <c r="H58" s="33"/>
      <c r="I58" s="34" t="str">
        <f>HYPERLINK("https://www.vertex42.com/calendars/academic-calendar.html","https://www.vertex42.com/calendars/academic-calendar.html")</f>
        <v>https://www.vertex42.com/calendars/academic-calendar.html</v>
      </c>
      <c r="J58" s="33"/>
      <c r="K58" s="33"/>
      <c r="L58" s="33"/>
      <c r="M58" s="33"/>
      <c r="N58" s="24"/>
    </row>
  </sheetData>
  <mergeCells count="319">
    <mergeCell ref="M10:N10"/>
    <mergeCell ref="M18:N18"/>
    <mergeCell ref="M17:N17"/>
    <mergeCell ref="M22:N22"/>
    <mergeCell ref="M23:N23"/>
    <mergeCell ref="M20:N20"/>
    <mergeCell ref="K1:N1"/>
    <mergeCell ref="M3:N3"/>
    <mergeCell ref="K3:L3"/>
    <mergeCell ref="E9:F9"/>
    <mergeCell ref="E8:F8"/>
    <mergeCell ref="M8:N8"/>
    <mergeCell ref="M9:N9"/>
    <mergeCell ref="I9:J9"/>
    <mergeCell ref="G9:H9"/>
    <mergeCell ref="I5:J5"/>
    <mergeCell ref="I8:J8"/>
    <mergeCell ref="I7:J7"/>
    <mergeCell ref="G8:H8"/>
    <mergeCell ref="G7:H7"/>
    <mergeCell ref="K9:L9"/>
    <mergeCell ref="E3:F3"/>
    <mergeCell ref="A7:B7"/>
    <mergeCell ref="A9:B9"/>
    <mergeCell ref="A11:B11"/>
    <mergeCell ref="A12:B12"/>
    <mergeCell ref="A13:B13"/>
    <mergeCell ref="A5:B5"/>
    <mergeCell ref="C5:D5"/>
    <mergeCell ref="A1:B1"/>
    <mergeCell ref="A8:B8"/>
    <mergeCell ref="C9:D9"/>
    <mergeCell ref="C8:D8"/>
    <mergeCell ref="A2:N2"/>
    <mergeCell ref="G5:H5"/>
    <mergeCell ref="G3:H3"/>
    <mergeCell ref="I3:J3"/>
    <mergeCell ref="C3:D3"/>
    <mergeCell ref="A3:B3"/>
    <mergeCell ref="A4:N4"/>
    <mergeCell ref="E5:F5"/>
    <mergeCell ref="A10:B10"/>
    <mergeCell ref="E7:F7"/>
    <mergeCell ref="M5:N5"/>
    <mergeCell ref="K5:L5"/>
    <mergeCell ref="M35:N35"/>
    <mergeCell ref="M37:N37"/>
    <mergeCell ref="M36:N36"/>
    <mergeCell ref="K37:L37"/>
    <mergeCell ref="C7:D7"/>
    <mergeCell ref="K8:L8"/>
    <mergeCell ref="M7:N7"/>
    <mergeCell ref="K7:L7"/>
    <mergeCell ref="E29:F29"/>
    <mergeCell ref="M16:N16"/>
    <mergeCell ref="M19:N19"/>
    <mergeCell ref="I10:J10"/>
    <mergeCell ref="K11:L11"/>
    <mergeCell ref="I11:J11"/>
    <mergeCell ref="E10:F10"/>
    <mergeCell ref="I22:J22"/>
    <mergeCell ref="I17:J17"/>
    <mergeCell ref="G12:H12"/>
    <mergeCell ref="K16:L16"/>
    <mergeCell ref="G11:H11"/>
    <mergeCell ref="M11:N11"/>
    <mergeCell ref="M13:N13"/>
    <mergeCell ref="M12:N12"/>
    <mergeCell ref="K10:L10"/>
    <mergeCell ref="E41:F41"/>
    <mergeCell ref="E40:F40"/>
    <mergeCell ref="K38:L38"/>
    <mergeCell ref="I36:J36"/>
    <mergeCell ref="I39:J39"/>
    <mergeCell ref="I38:J38"/>
    <mergeCell ref="G30:H30"/>
    <mergeCell ref="E30:F30"/>
    <mergeCell ref="M29:N29"/>
    <mergeCell ref="M32:N32"/>
    <mergeCell ref="G36:H36"/>
    <mergeCell ref="E31:F31"/>
    <mergeCell ref="G31:H31"/>
    <mergeCell ref="G29:H29"/>
    <mergeCell ref="I29:J29"/>
    <mergeCell ref="I30:J30"/>
    <mergeCell ref="K34:L34"/>
    <mergeCell ref="M34:N34"/>
    <mergeCell ref="I31:J31"/>
    <mergeCell ref="I34:J34"/>
    <mergeCell ref="K30:L30"/>
    <mergeCell ref="G35:H35"/>
    <mergeCell ref="I37:J37"/>
    <mergeCell ref="K41:L41"/>
    <mergeCell ref="I40:J40"/>
    <mergeCell ref="I41:J41"/>
    <mergeCell ref="K29:L29"/>
    <mergeCell ref="I32:J32"/>
    <mergeCell ref="K32:L32"/>
    <mergeCell ref="G34:H34"/>
    <mergeCell ref="G37:H37"/>
    <mergeCell ref="G39:H39"/>
    <mergeCell ref="K39:L39"/>
    <mergeCell ref="K40:L40"/>
    <mergeCell ref="K36:L36"/>
    <mergeCell ref="K35:L35"/>
    <mergeCell ref="M31:N31"/>
    <mergeCell ref="M30:N30"/>
    <mergeCell ref="K13:L13"/>
    <mergeCell ref="I13:J13"/>
    <mergeCell ref="I12:J12"/>
    <mergeCell ref="K12:L12"/>
    <mergeCell ref="I16:J16"/>
    <mergeCell ref="K14:L14"/>
    <mergeCell ref="M28:N28"/>
    <mergeCell ref="M21:N21"/>
    <mergeCell ref="M14:N14"/>
    <mergeCell ref="K17:L17"/>
    <mergeCell ref="K20:L20"/>
    <mergeCell ref="K19:L19"/>
    <mergeCell ref="K18:L18"/>
    <mergeCell ref="K25:L25"/>
    <mergeCell ref="K31:L31"/>
    <mergeCell ref="M26:N26"/>
    <mergeCell ref="M25:N25"/>
    <mergeCell ref="M27:N27"/>
    <mergeCell ref="E16:F16"/>
    <mergeCell ref="E19:F19"/>
    <mergeCell ref="E21:F21"/>
    <mergeCell ref="E20:F20"/>
    <mergeCell ref="E18:F18"/>
    <mergeCell ref="E17:F17"/>
    <mergeCell ref="E12:F12"/>
    <mergeCell ref="I14:J14"/>
    <mergeCell ref="G14:H14"/>
    <mergeCell ref="E13:F13"/>
    <mergeCell ref="G21:H21"/>
    <mergeCell ref="G16:H16"/>
    <mergeCell ref="G17:H17"/>
    <mergeCell ref="E14:F14"/>
    <mergeCell ref="G20:H20"/>
    <mergeCell ref="G18:H18"/>
    <mergeCell ref="G19:H19"/>
    <mergeCell ref="E25:F25"/>
    <mergeCell ref="K27:L27"/>
    <mergeCell ref="K28:L28"/>
    <mergeCell ref="K26:L26"/>
    <mergeCell ref="I23:J23"/>
    <mergeCell ref="K23:L23"/>
    <mergeCell ref="E23:F23"/>
    <mergeCell ref="G23:H23"/>
    <mergeCell ref="E27:F27"/>
    <mergeCell ref="E28:F28"/>
    <mergeCell ref="G26:H26"/>
    <mergeCell ref="I26:J26"/>
    <mergeCell ref="G28:H28"/>
    <mergeCell ref="G27:H27"/>
    <mergeCell ref="A29:B29"/>
    <mergeCell ref="I21:J21"/>
    <mergeCell ref="I20:J20"/>
    <mergeCell ref="I27:J27"/>
    <mergeCell ref="I18:J18"/>
    <mergeCell ref="I19:J19"/>
    <mergeCell ref="K21:L21"/>
    <mergeCell ref="K22:L22"/>
    <mergeCell ref="C20:D20"/>
    <mergeCell ref="E22:F22"/>
    <mergeCell ref="E26:F26"/>
    <mergeCell ref="I25:J25"/>
    <mergeCell ref="G25:H25"/>
    <mergeCell ref="A26:B26"/>
    <mergeCell ref="A25:B25"/>
    <mergeCell ref="G22:H22"/>
    <mergeCell ref="I28:J28"/>
    <mergeCell ref="C25:D25"/>
    <mergeCell ref="C26:D26"/>
    <mergeCell ref="C18:D18"/>
    <mergeCell ref="C19:D19"/>
    <mergeCell ref="C28:D28"/>
    <mergeCell ref="C27:D27"/>
    <mergeCell ref="C29:D29"/>
    <mergeCell ref="A20:B20"/>
    <mergeCell ref="A17:B17"/>
    <mergeCell ref="A19:B19"/>
    <mergeCell ref="A18:B18"/>
    <mergeCell ref="A27:B27"/>
    <mergeCell ref="A28:B28"/>
    <mergeCell ref="G10:H10"/>
    <mergeCell ref="G13:H13"/>
    <mergeCell ref="E11:F11"/>
    <mergeCell ref="C10:D10"/>
    <mergeCell ref="C14:D14"/>
    <mergeCell ref="C16:D16"/>
    <mergeCell ref="C11:D11"/>
    <mergeCell ref="C12:D12"/>
    <mergeCell ref="C13:D13"/>
    <mergeCell ref="A16:B16"/>
    <mergeCell ref="A14:B14"/>
    <mergeCell ref="C17:D17"/>
    <mergeCell ref="C23:D23"/>
    <mergeCell ref="A21:B21"/>
    <mergeCell ref="A23:B23"/>
    <mergeCell ref="A22:B22"/>
    <mergeCell ref="C22:D22"/>
    <mergeCell ref="C21:D21"/>
    <mergeCell ref="C37:D37"/>
    <mergeCell ref="A37:B37"/>
    <mergeCell ref="E39:F39"/>
    <mergeCell ref="C41:D41"/>
    <mergeCell ref="A38:B38"/>
    <mergeCell ref="G45:H45"/>
    <mergeCell ref="C32:D32"/>
    <mergeCell ref="C31:D31"/>
    <mergeCell ref="E32:F32"/>
    <mergeCell ref="A31:B31"/>
    <mergeCell ref="G32:H32"/>
    <mergeCell ref="A41:B41"/>
    <mergeCell ref="G40:H40"/>
    <mergeCell ref="E38:F38"/>
    <mergeCell ref="G38:H38"/>
    <mergeCell ref="A40:B40"/>
    <mergeCell ref="C38:D38"/>
    <mergeCell ref="C40:D40"/>
    <mergeCell ref="C39:D39"/>
    <mergeCell ref="E37:F37"/>
    <mergeCell ref="E35:F35"/>
    <mergeCell ref="E36:F36"/>
    <mergeCell ref="G41:H41"/>
    <mergeCell ref="G43:H43"/>
    <mergeCell ref="A30:B30"/>
    <mergeCell ref="A32:B32"/>
    <mergeCell ref="A36:B36"/>
    <mergeCell ref="A35:B35"/>
    <mergeCell ref="C30:D30"/>
    <mergeCell ref="C35:D35"/>
    <mergeCell ref="C34:D34"/>
    <mergeCell ref="C36:D36"/>
    <mergeCell ref="E34:F34"/>
    <mergeCell ref="C53:D53"/>
    <mergeCell ref="A52:B52"/>
    <mergeCell ref="A50:B50"/>
    <mergeCell ref="A34:B34"/>
    <mergeCell ref="A46:B46"/>
    <mergeCell ref="C52:D52"/>
    <mergeCell ref="E58:H58"/>
    <mergeCell ref="C58:D58"/>
    <mergeCell ref="C54:D54"/>
    <mergeCell ref="C55:D55"/>
    <mergeCell ref="A53:B53"/>
    <mergeCell ref="A56:B56"/>
    <mergeCell ref="C56:D56"/>
    <mergeCell ref="A57:B57"/>
    <mergeCell ref="A58:B58"/>
    <mergeCell ref="A54:B54"/>
    <mergeCell ref="A55:B55"/>
    <mergeCell ref="C57:D57"/>
    <mergeCell ref="C47:D47"/>
    <mergeCell ref="A47:B47"/>
    <mergeCell ref="E46:F46"/>
    <mergeCell ref="C46:D46"/>
    <mergeCell ref="C45:D45"/>
    <mergeCell ref="A39:B39"/>
    <mergeCell ref="E53:N53"/>
    <mergeCell ref="E54:N54"/>
    <mergeCell ref="M47:N47"/>
    <mergeCell ref="M49:N49"/>
    <mergeCell ref="M48:N48"/>
    <mergeCell ref="E52:N52"/>
    <mergeCell ref="G51:N51"/>
    <mergeCell ref="M50:N50"/>
    <mergeCell ref="M43:N43"/>
    <mergeCell ref="E50:F50"/>
    <mergeCell ref="E51:F51"/>
    <mergeCell ref="G46:H46"/>
    <mergeCell ref="G47:H47"/>
    <mergeCell ref="G49:H49"/>
    <mergeCell ref="G48:H48"/>
    <mergeCell ref="G44:H44"/>
    <mergeCell ref="I43:J43"/>
    <mergeCell ref="I44:J44"/>
    <mergeCell ref="E45:F45"/>
    <mergeCell ref="E44:F44"/>
    <mergeCell ref="E43:F43"/>
    <mergeCell ref="C50:D50"/>
    <mergeCell ref="C44:D44"/>
    <mergeCell ref="E47:F47"/>
    <mergeCell ref="E49:F49"/>
    <mergeCell ref="E48:F48"/>
    <mergeCell ref="A44:B44"/>
    <mergeCell ref="A45:B45"/>
    <mergeCell ref="A43:B43"/>
    <mergeCell ref="C43:D43"/>
    <mergeCell ref="C49:D49"/>
    <mergeCell ref="A49:B49"/>
    <mergeCell ref="C48:D48"/>
    <mergeCell ref="A48:B48"/>
    <mergeCell ref="I58:N58"/>
    <mergeCell ref="G50:H50"/>
    <mergeCell ref="I46:J46"/>
    <mergeCell ref="I45:J45"/>
    <mergeCell ref="I47:J47"/>
    <mergeCell ref="I48:J48"/>
    <mergeCell ref="I49:J49"/>
    <mergeCell ref="I35:J35"/>
    <mergeCell ref="I50:J50"/>
    <mergeCell ref="M38:N38"/>
    <mergeCell ref="M40:N40"/>
    <mergeCell ref="M39:N39"/>
    <mergeCell ref="M41:N41"/>
    <mergeCell ref="K46:L46"/>
    <mergeCell ref="K49:L49"/>
    <mergeCell ref="K48:L48"/>
    <mergeCell ref="K47:L47"/>
    <mergeCell ref="K50:L50"/>
    <mergeCell ref="M45:N45"/>
    <mergeCell ref="K45:L45"/>
    <mergeCell ref="M44:N44"/>
    <mergeCell ref="K43:L43"/>
    <mergeCell ref="K44:L44"/>
    <mergeCell ref="M46:N46"/>
  </mergeCells>
  <printOptions horizontalCentered="1" gridLines="1"/>
  <pageMargins left="0.5" right="0.5" top="0.25" bottom="0.25" header="0" footer="0"/>
  <pageSetup scale="80" pageOrder="overThenDown" orientation="portrait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  <pageSetUpPr fitToPage="1"/>
  </sheetPr>
  <dimension ref="A1:N58"/>
  <sheetViews>
    <sheetView showGridLines="0" topLeftCell="A23" workbookViewId="0">
      <selection activeCell="A55" sqref="A55:B55"/>
    </sheetView>
  </sheetViews>
  <sheetFormatPr defaultColWidth="12.5703125" defaultRowHeight="12.75" customHeight="1"/>
  <cols>
    <col min="1" max="1" width="3.85546875" customWidth="1"/>
    <col min="2" max="2" width="13.42578125" customWidth="1"/>
    <col min="3" max="3" width="3.85546875" customWidth="1"/>
    <col min="4" max="4" width="13.42578125" customWidth="1"/>
    <col min="5" max="5" width="3.85546875" customWidth="1"/>
    <col min="6" max="6" width="13.42578125" customWidth="1"/>
    <col min="7" max="7" width="3.85546875" customWidth="1"/>
    <col min="8" max="8" width="13.42578125" customWidth="1"/>
    <col min="9" max="9" width="3.85546875" customWidth="1"/>
    <col min="10" max="10" width="15.42578125" customWidth="1"/>
    <col min="11" max="11" width="3.85546875" customWidth="1"/>
    <col min="12" max="12" width="13.42578125" customWidth="1"/>
    <col min="13" max="13" width="3.85546875" customWidth="1"/>
    <col min="14" max="14" width="13.42578125" customWidth="1"/>
  </cols>
  <sheetData>
    <row r="1" spans="1:14" ht="18" customHeight="1">
      <c r="A1" s="36">
        <f>EDATE('©'!A17,46)</f>
        <v>46508</v>
      </c>
      <c r="B1" s="37"/>
      <c r="C1" s="1"/>
      <c r="D1" s="1"/>
      <c r="E1" s="1"/>
      <c r="F1" s="1"/>
      <c r="G1" s="1"/>
      <c r="H1" s="1"/>
      <c r="I1" s="1"/>
      <c r="J1" s="1"/>
      <c r="K1" s="38" t="s">
        <v>0</v>
      </c>
      <c r="L1" s="37"/>
      <c r="M1" s="37"/>
      <c r="N1" s="37"/>
    </row>
    <row r="2" spans="1:14" ht="18" customHeight="1">
      <c r="A2" s="39" t="s">
        <v>166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1:14" ht="18" customHeight="1">
      <c r="A3" s="29" t="s">
        <v>167</v>
      </c>
      <c r="B3" s="37"/>
      <c r="C3" s="27" t="s">
        <v>168</v>
      </c>
      <c r="D3" s="37"/>
      <c r="E3" s="19" t="s">
        <v>169</v>
      </c>
      <c r="F3" s="37"/>
      <c r="G3" s="21" t="s">
        <v>170</v>
      </c>
      <c r="H3" s="37"/>
      <c r="I3" s="56" t="s">
        <v>171</v>
      </c>
      <c r="J3" s="37"/>
      <c r="K3" s="23" t="s">
        <v>172</v>
      </c>
      <c r="L3" s="37"/>
      <c r="M3" s="25" t="s">
        <v>173</v>
      </c>
      <c r="N3" s="37"/>
    </row>
    <row r="4" spans="1:14" ht="69" customHeight="1">
      <c r="A4" s="42" t="str">
        <f>UPPER(TEXT(A1,"mmmm yyyy"))</f>
        <v>MAY 2027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</row>
    <row r="5" spans="1:14" ht="18" customHeight="1">
      <c r="A5" s="40">
        <f>A15</f>
        <v>46510</v>
      </c>
      <c r="B5" s="41"/>
      <c r="C5" s="40">
        <f>C15</f>
        <v>46511</v>
      </c>
      <c r="D5" s="41"/>
      <c r="E5" s="40">
        <f>E15</f>
        <v>46512</v>
      </c>
      <c r="F5" s="41"/>
      <c r="G5" s="40">
        <f>G15</f>
        <v>46513</v>
      </c>
      <c r="H5" s="41"/>
      <c r="I5" s="40">
        <f>I15</f>
        <v>46514</v>
      </c>
      <c r="J5" s="41"/>
      <c r="K5" s="40">
        <f>K15</f>
        <v>46515</v>
      </c>
      <c r="L5" s="41"/>
      <c r="M5" s="40">
        <f>M15</f>
        <v>46516</v>
      </c>
      <c r="N5" s="41"/>
    </row>
    <row r="6" spans="1:14" ht="18" customHeight="1">
      <c r="A6" s="2" t="str">
        <f>IF(WEEKDAY($A$1,1)=startday,$A$1,"")</f>
        <v/>
      </c>
      <c r="B6" s="3"/>
      <c r="C6" s="2" t="str">
        <f>IF(A6="",IF(WEEKDAY($A$1,1)=MOD(startday,7)+1,$A$1,""),A6+1)</f>
        <v/>
      </c>
      <c r="D6" s="3"/>
      <c r="E6" s="2" t="str">
        <f>IF(C6="",IF(WEEKDAY($A$1,1)=MOD(startday,7)+2,$A$1,""),C6+1)</f>
        <v/>
      </c>
      <c r="F6" s="3"/>
      <c r="G6" s="2" t="str">
        <f>IF(E6="",IF(WEEKDAY($A$1,1)=MOD(startday,7)+3,$A$1,""),E6+1)</f>
        <v/>
      </c>
      <c r="H6" s="3"/>
      <c r="I6" s="2" t="str">
        <f>IF(G6="",IF(WEEKDAY($A$1,1)=MOD(startday,7)+4,$A$1,""),G6+1)</f>
        <v/>
      </c>
      <c r="J6" s="3"/>
      <c r="K6" s="4">
        <f>IF(I6="",IF(WEEKDAY($A$1,1)=MOD(startday,7)+5,$A$1,""),I6+1)</f>
        <v>46508</v>
      </c>
      <c r="L6" s="5"/>
      <c r="M6" s="4">
        <f>IF(K6="",IF(WEEKDAY($A$1,1)=MOD(startday+5,7)+1,$A$1,""),K6+1)</f>
        <v>46509</v>
      </c>
      <c r="N6" s="5"/>
    </row>
    <row r="7" spans="1:14" ht="18" customHeight="1">
      <c r="A7" s="29" t="s">
        <v>199</v>
      </c>
      <c r="B7" s="20"/>
      <c r="C7" s="29" t="s">
        <v>199</v>
      </c>
      <c r="D7" s="20"/>
      <c r="E7" s="29" t="s">
        <v>199</v>
      </c>
      <c r="F7" s="20"/>
      <c r="G7" s="29" t="s">
        <v>199</v>
      </c>
      <c r="H7" s="20"/>
      <c r="I7" s="29" t="s">
        <v>199</v>
      </c>
      <c r="J7" s="20"/>
      <c r="K7" s="29" t="s">
        <v>199</v>
      </c>
      <c r="L7" s="20"/>
      <c r="M7" s="29" t="s">
        <v>199</v>
      </c>
      <c r="N7" s="20"/>
    </row>
    <row r="8" spans="1:14" ht="18" customHeight="1">
      <c r="A8" s="27" t="s">
        <v>207</v>
      </c>
      <c r="B8" s="20"/>
      <c r="C8" s="27" t="s">
        <v>207</v>
      </c>
      <c r="D8" s="20"/>
      <c r="E8" s="27" t="s">
        <v>207</v>
      </c>
      <c r="F8" s="20"/>
      <c r="G8" s="27" t="s">
        <v>207</v>
      </c>
      <c r="H8" s="20"/>
      <c r="I8" s="27" t="s">
        <v>207</v>
      </c>
      <c r="J8" s="20"/>
      <c r="K8" s="26"/>
      <c r="L8" s="20"/>
      <c r="M8" s="26"/>
      <c r="N8" s="20"/>
    </row>
    <row r="9" spans="1:14" ht="18" customHeight="1">
      <c r="A9" s="19" t="s">
        <v>189</v>
      </c>
      <c r="B9" s="20"/>
      <c r="C9" s="19" t="s">
        <v>189</v>
      </c>
      <c r="D9" s="20"/>
      <c r="E9" s="19" t="s">
        <v>189</v>
      </c>
      <c r="F9" s="20"/>
      <c r="G9" s="19" t="s">
        <v>189</v>
      </c>
      <c r="H9" s="20"/>
      <c r="I9" s="19" t="s">
        <v>189</v>
      </c>
      <c r="J9" s="20"/>
      <c r="K9" s="19" t="s">
        <v>189</v>
      </c>
      <c r="L9" s="20"/>
      <c r="M9" s="19" t="s">
        <v>189</v>
      </c>
      <c r="N9" s="20"/>
    </row>
    <row r="10" spans="1:14" ht="18" customHeight="1">
      <c r="A10" s="21" t="s">
        <v>187</v>
      </c>
      <c r="B10" s="20"/>
      <c r="C10" s="21" t="s">
        <v>187</v>
      </c>
      <c r="D10" s="20"/>
      <c r="E10" s="21" t="s">
        <v>187</v>
      </c>
      <c r="F10" s="20"/>
      <c r="G10" s="21" t="s">
        <v>187</v>
      </c>
      <c r="H10" s="20"/>
      <c r="I10" s="21" t="s">
        <v>187</v>
      </c>
      <c r="J10" s="20"/>
      <c r="K10" s="30"/>
      <c r="L10" s="20"/>
      <c r="M10" s="30"/>
      <c r="N10" s="20"/>
    </row>
    <row r="11" spans="1:14" ht="18" customHeight="1">
      <c r="A11" s="56"/>
      <c r="B11" s="20"/>
      <c r="C11" s="57"/>
      <c r="D11" s="20"/>
      <c r="E11" s="56"/>
      <c r="F11" s="20"/>
      <c r="G11" s="56"/>
      <c r="H11" s="20"/>
      <c r="I11" s="56"/>
      <c r="J11" s="20"/>
      <c r="K11" s="56"/>
      <c r="L11" s="20"/>
      <c r="M11" s="56"/>
      <c r="N11" s="20"/>
    </row>
    <row r="12" spans="1:14" ht="18" customHeight="1">
      <c r="A12" s="23"/>
      <c r="B12" s="20"/>
      <c r="C12" s="22"/>
      <c r="D12" s="20"/>
      <c r="E12" s="23"/>
      <c r="F12" s="20"/>
      <c r="G12" s="22"/>
      <c r="H12" s="20"/>
      <c r="I12" s="22"/>
      <c r="J12" s="20"/>
      <c r="K12" s="22"/>
      <c r="L12" s="20"/>
      <c r="M12" s="22"/>
      <c r="N12" s="20"/>
    </row>
    <row r="13" spans="1:14" ht="18" customHeight="1">
      <c r="A13" s="25"/>
      <c r="B13" s="20"/>
      <c r="C13" s="25"/>
      <c r="D13" s="20"/>
      <c r="E13" s="25"/>
      <c r="F13" s="20"/>
      <c r="G13" s="25"/>
      <c r="H13" s="20"/>
      <c r="I13" s="25"/>
      <c r="J13" s="20"/>
      <c r="K13" s="25"/>
      <c r="L13" s="20"/>
      <c r="M13" s="25"/>
      <c r="N13" s="20"/>
    </row>
    <row r="14" spans="1:14" ht="18" customHeight="1">
      <c r="A14" s="58"/>
      <c r="B14" s="24"/>
      <c r="C14" s="58"/>
      <c r="D14" s="24"/>
      <c r="E14" s="58"/>
      <c r="F14" s="24"/>
      <c r="G14" s="58"/>
      <c r="H14" s="24"/>
      <c r="I14" s="58"/>
      <c r="J14" s="24"/>
      <c r="K14" s="58"/>
      <c r="L14" s="24"/>
      <c r="M14" s="58"/>
      <c r="N14" s="24"/>
    </row>
    <row r="15" spans="1:14" ht="18" customHeight="1">
      <c r="A15" s="2">
        <f>M6+1</f>
        <v>46510</v>
      </c>
      <c r="B15" s="3"/>
      <c r="C15" s="2">
        <f>A15+1</f>
        <v>46511</v>
      </c>
      <c r="D15" s="3"/>
      <c r="E15" s="2">
        <f>C15+1</f>
        <v>46512</v>
      </c>
      <c r="F15" s="3"/>
      <c r="G15" s="2">
        <f>E15+1</f>
        <v>46513</v>
      </c>
      <c r="H15" s="3"/>
      <c r="I15" s="2">
        <f>G15+1</f>
        <v>46514</v>
      </c>
      <c r="J15" s="3"/>
      <c r="K15" s="4">
        <f>I15+1</f>
        <v>46515</v>
      </c>
      <c r="L15" s="5"/>
      <c r="M15" s="4">
        <f>K15+1</f>
        <v>46516</v>
      </c>
      <c r="N15" s="5"/>
    </row>
    <row r="16" spans="1:14" ht="18" customHeight="1">
      <c r="A16" s="50" t="s">
        <v>186</v>
      </c>
      <c r="B16" s="51"/>
      <c r="C16" s="50" t="s">
        <v>186</v>
      </c>
      <c r="D16" s="51"/>
      <c r="E16" s="50" t="s">
        <v>186</v>
      </c>
      <c r="F16" s="51"/>
      <c r="G16" s="50" t="s">
        <v>186</v>
      </c>
      <c r="H16" s="51"/>
      <c r="I16" s="50" t="s">
        <v>186</v>
      </c>
      <c r="J16" s="51"/>
      <c r="K16" s="50" t="s">
        <v>186</v>
      </c>
      <c r="L16" s="51"/>
      <c r="M16" s="50" t="s">
        <v>186</v>
      </c>
      <c r="N16" s="51"/>
    </row>
    <row r="17" spans="1:14" ht="18" customHeight="1">
      <c r="A17" s="27" t="s">
        <v>175</v>
      </c>
      <c r="B17" s="28"/>
      <c r="C17" s="27" t="s">
        <v>175</v>
      </c>
      <c r="D17" s="28"/>
      <c r="E17" s="27" t="s">
        <v>175</v>
      </c>
      <c r="F17" s="28"/>
      <c r="G17" s="27" t="s">
        <v>175</v>
      </c>
      <c r="H17" s="28"/>
      <c r="I17" s="27" t="s">
        <v>175</v>
      </c>
      <c r="J17" s="28"/>
      <c r="K17" s="26"/>
      <c r="L17" s="20"/>
      <c r="M17" s="26"/>
      <c r="N17" s="20"/>
    </row>
    <row r="18" spans="1:14" ht="18" customHeight="1">
      <c r="A18" s="19" t="s">
        <v>195</v>
      </c>
      <c r="B18" s="20"/>
      <c r="C18" s="19" t="s">
        <v>195</v>
      </c>
      <c r="D18" s="20"/>
      <c r="E18" s="19" t="s">
        <v>195</v>
      </c>
      <c r="F18" s="20"/>
      <c r="G18" s="19" t="s">
        <v>195</v>
      </c>
      <c r="H18" s="20"/>
      <c r="I18" s="19" t="s">
        <v>195</v>
      </c>
      <c r="J18" s="20"/>
      <c r="K18" s="19" t="s">
        <v>195</v>
      </c>
      <c r="L18" s="20"/>
      <c r="M18" s="19" t="s">
        <v>195</v>
      </c>
      <c r="N18" s="20"/>
    </row>
    <row r="19" spans="1:14" ht="18" customHeight="1">
      <c r="A19" s="21" t="s">
        <v>177</v>
      </c>
      <c r="B19" s="20"/>
      <c r="C19" s="21" t="s">
        <v>177</v>
      </c>
      <c r="D19" s="20"/>
      <c r="E19" s="21" t="s">
        <v>177</v>
      </c>
      <c r="F19" s="20"/>
      <c r="G19" s="21" t="s">
        <v>177</v>
      </c>
      <c r="H19" s="20"/>
      <c r="I19" s="21" t="s">
        <v>177</v>
      </c>
      <c r="J19" s="20"/>
      <c r="K19" s="21"/>
      <c r="L19" s="20"/>
      <c r="M19" s="21"/>
      <c r="N19" s="20"/>
    </row>
    <row r="20" spans="1:14" ht="18" customHeight="1">
      <c r="A20" s="56"/>
      <c r="B20" s="20"/>
      <c r="C20" s="56"/>
      <c r="D20" s="20"/>
      <c r="E20" s="56"/>
      <c r="F20" s="20"/>
      <c r="G20" s="56"/>
      <c r="H20" s="20"/>
      <c r="I20" s="56"/>
      <c r="J20" s="20"/>
      <c r="K20" s="56"/>
      <c r="L20" s="20"/>
      <c r="M20" s="56"/>
      <c r="N20" s="20"/>
    </row>
    <row r="21" spans="1:14" ht="18" customHeight="1">
      <c r="A21" s="23"/>
      <c r="B21" s="20"/>
      <c r="C21" s="22"/>
      <c r="D21" s="20"/>
      <c r="E21" s="23"/>
      <c r="F21" s="20"/>
      <c r="G21" s="22"/>
      <c r="H21" s="20"/>
      <c r="I21" s="22"/>
      <c r="J21" s="20"/>
      <c r="K21" s="22"/>
      <c r="L21" s="20"/>
      <c r="M21" s="22"/>
      <c r="N21" s="20"/>
    </row>
    <row r="22" spans="1:14" ht="18" customHeight="1">
      <c r="A22" s="25"/>
      <c r="B22" s="20"/>
      <c r="C22" s="25"/>
      <c r="D22" s="20"/>
      <c r="E22" s="25"/>
      <c r="F22" s="20"/>
      <c r="G22" s="25"/>
      <c r="H22" s="20"/>
      <c r="I22" s="25"/>
      <c r="J22" s="20"/>
      <c r="K22" s="25"/>
      <c r="L22" s="20"/>
      <c r="M22" s="25"/>
      <c r="N22" s="20"/>
    </row>
    <row r="23" spans="1:14" ht="18" customHeight="1">
      <c r="A23" s="58"/>
      <c r="B23" s="24"/>
      <c r="C23" s="58"/>
      <c r="D23" s="24"/>
      <c r="E23" s="58"/>
      <c r="F23" s="24"/>
      <c r="G23" s="58"/>
      <c r="H23" s="24"/>
      <c r="I23" s="58"/>
      <c r="J23" s="24"/>
      <c r="K23" s="58"/>
      <c r="L23" s="24"/>
      <c r="M23" s="58"/>
      <c r="N23" s="24"/>
    </row>
    <row r="24" spans="1:14" ht="18" customHeight="1">
      <c r="A24" s="2">
        <f>M15+1</f>
        <v>46517</v>
      </c>
      <c r="B24" s="3"/>
      <c r="C24" s="2">
        <f>A24+1</f>
        <v>46518</v>
      </c>
      <c r="D24" s="3"/>
      <c r="E24" s="2">
        <f>C24+1</f>
        <v>46519</v>
      </c>
      <c r="F24" s="3"/>
      <c r="G24" s="2">
        <f>E24+1</f>
        <v>46520</v>
      </c>
      <c r="H24" s="3"/>
      <c r="I24" s="2">
        <f>G24+1</f>
        <v>46521</v>
      </c>
      <c r="J24" s="3"/>
      <c r="K24" s="4">
        <f>I24+1</f>
        <v>46522</v>
      </c>
      <c r="L24" s="5"/>
      <c r="M24" s="4">
        <f>K24+1</f>
        <v>46523</v>
      </c>
      <c r="N24" s="5"/>
    </row>
    <row r="25" spans="1:14" ht="18" customHeight="1">
      <c r="A25" s="29" t="s">
        <v>194</v>
      </c>
      <c r="B25" s="20"/>
      <c r="C25" s="29" t="s">
        <v>194</v>
      </c>
      <c r="D25" s="20"/>
      <c r="E25" s="29" t="s">
        <v>194</v>
      </c>
      <c r="F25" s="20"/>
      <c r="G25" s="29" t="s">
        <v>194</v>
      </c>
      <c r="H25" s="20"/>
      <c r="I25" s="29" t="s">
        <v>194</v>
      </c>
      <c r="J25" s="20"/>
      <c r="K25" s="29" t="s">
        <v>194</v>
      </c>
      <c r="L25" s="20"/>
      <c r="M25" s="29" t="s">
        <v>194</v>
      </c>
      <c r="N25" s="20"/>
    </row>
    <row r="26" spans="1:14" ht="18" customHeight="1">
      <c r="A26" s="27" t="s">
        <v>210</v>
      </c>
      <c r="B26" s="20"/>
      <c r="C26" s="27" t="s">
        <v>210</v>
      </c>
      <c r="D26" s="20"/>
      <c r="E26" s="27" t="s">
        <v>210</v>
      </c>
      <c r="F26" s="20"/>
      <c r="G26" s="27" t="s">
        <v>210</v>
      </c>
      <c r="H26" s="20"/>
      <c r="I26" s="27" t="s">
        <v>210</v>
      </c>
      <c r="J26" s="20"/>
      <c r="K26" s="26"/>
      <c r="L26" s="20"/>
      <c r="M26" s="26"/>
      <c r="N26" s="20"/>
    </row>
    <row r="27" spans="1:14" ht="18" customHeight="1">
      <c r="A27" s="19" t="s">
        <v>203</v>
      </c>
      <c r="B27" s="20"/>
      <c r="C27" s="19" t="s">
        <v>203</v>
      </c>
      <c r="D27" s="20"/>
      <c r="E27" s="19" t="s">
        <v>203</v>
      </c>
      <c r="F27" s="20"/>
      <c r="G27" s="19" t="s">
        <v>203</v>
      </c>
      <c r="H27" s="20"/>
      <c r="I27" s="19" t="s">
        <v>203</v>
      </c>
      <c r="J27" s="20"/>
      <c r="K27" s="19" t="s">
        <v>203</v>
      </c>
      <c r="L27" s="20"/>
      <c r="M27" s="19" t="s">
        <v>203</v>
      </c>
      <c r="N27" s="20"/>
    </row>
    <row r="28" spans="1:14" ht="18" customHeight="1">
      <c r="A28" s="21" t="s">
        <v>187</v>
      </c>
      <c r="B28" s="20"/>
      <c r="C28" s="21" t="s">
        <v>187</v>
      </c>
      <c r="D28" s="20"/>
      <c r="E28" s="21" t="s">
        <v>187</v>
      </c>
      <c r="F28" s="20"/>
      <c r="G28" s="21" t="s">
        <v>187</v>
      </c>
      <c r="H28" s="20"/>
      <c r="I28" s="21" t="s">
        <v>187</v>
      </c>
      <c r="J28" s="20"/>
      <c r="K28" s="21"/>
      <c r="L28" s="20"/>
      <c r="M28" s="21"/>
      <c r="N28" s="20"/>
    </row>
    <row r="29" spans="1:14" ht="18" customHeight="1">
      <c r="A29" s="56"/>
      <c r="B29" s="20"/>
      <c r="C29" s="56"/>
      <c r="D29" s="20"/>
      <c r="E29" s="56"/>
      <c r="F29" s="20"/>
      <c r="G29" s="56"/>
      <c r="H29" s="20"/>
      <c r="I29" s="56"/>
      <c r="J29" s="20"/>
      <c r="K29" s="56"/>
      <c r="L29" s="20"/>
      <c r="M29" s="56"/>
      <c r="N29" s="20"/>
    </row>
    <row r="30" spans="1:14" ht="18" customHeight="1">
      <c r="A30" s="23"/>
      <c r="B30" s="20"/>
      <c r="C30" s="22"/>
      <c r="D30" s="20"/>
      <c r="E30" s="23"/>
      <c r="F30" s="20"/>
      <c r="G30" s="22"/>
      <c r="H30" s="20"/>
      <c r="I30" s="22"/>
      <c r="J30" s="20"/>
      <c r="K30" s="22"/>
      <c r="L30" s="20"/>
      <c r="M30" s="22"/>
      <c r="N30" s="20"/>
    </row>
    <row r="31" spans="1:14" ht="18" customHeight="1">
      <c r="A31" s="25"/>
      <c r="B31" s="20"/>
      <c r="C31" s="25"/>
      <c r="D31" s="20"/>
      <c r="E31" s="25"/>
      <c r="F31" s="20"/>
      <c r="G31" s="25"/>
      <c r="H31" s="20"/>
      <c r="I31" s="25"/>
      <c r="J31" s="20"/>
      <c r="K31" s="25"/>
      <c r="L31" s="20"/>
      <c r="M31" s="25"/>
      <c r="N31" s="20"/>
    </row>
    <row r="32" spans="1:14" ht="18" customHeight="1">
      <c r="A32" s="58"/>
      <c r="B32" s="24"/>
      <c r="C32" s="58"/>
      <c r="D32" s="24"/>
      <c r="E32" s="58"/>
      <c r="F32" s="24"/>
      <c r="G32" s="58"/>
      <c r="H32" s="24"/>
      <c r="I32" s="58"/>
      <c r="J32" s="24"/>
      <c r="K32" s="58"/>
      <c r="L32" s="24"/>
      <c r="M32" s="58"/>
      <c r="N32" s="24"/>
    </row>
    <row r="33" spans="1:14" ht="18" customHeight="1">
      <c r="A33" s="2">
        <f>M24+1</f>
        <v>46524</v>
      </c>
      <c r="B33" s="3"/>
      <c r="C33" s="2">
        <f>A33+1</f>
        <v>46525</v>
      </c>
      <c r="D33" s="3"/>
      <c r="E33" s="2">
        <f>C33+1</f>
        <v>46526</v>
      </c>
      <c r="F33" s="3"/>
      <c r="G33" s="2">
        <f>E33+1</f>
        <v>46527</v>
      </c>
      <c r="H33" s="3"/>
      <c r="I33" s="2">
        <f>G33+1</f>
        <v>46528</v>
      </c>
      <c r="J33" s="3"/>
      <c r="K33" s="4">
        <f>I33+1</f>
        <v>46529</v>
      </c>
      <c r="L33" s="5"/>
      <c r="M33" s="4">
        <f>K33+1</f>
        <v>46530</v>
      </c>
      <c r="N33" s="5"/>
    </row>
    <row r="34" spans="1:14" ht="18" customHeight="1">
      <c r="A34" s="29" t="s">
        <v>207</v>
      </c>
      <c r="B34" s="20"/>
      <c r="C34" s="29" t="s">
        <v>207</v>
      </c>
      <c r="D34" s="20"/>
      <c r="E34" s="29" t="s">
        <v>207</v>
      </c>
      <c r="F34" s="20"/>
      <c r="G34" s="29" t="s">
        <v>207</v>
      </c>
      <c r="H34" s="20"/>
      <c r="I34" s="29" t="s">
        <v>207</v>
      </c>
      <c r="J34" s="20"/>
      <c r="K34" s="29" t="s">
        <v>207</v>
      </c>
      <c r="L34" s="20"/>
      <c r="M34" s="29" t="s">
        <v>207</v>
      </c>
      <c r="N34" s="20"/>
    </row>
    <row r="35" spans="1:14" ht="18" customHeight="1">
      <c r="A35" s="27" t="s">
        <v>174</v>
      </c>
      <c r="B35" s="20"/>
      <c r="C35" s="27" t="s">
        <v>174</v>
      </c>
      <c r="D35" s="20"/>
      <c r="E35" s="27" t="s">
        <v>174</v>
      </c>
      <c r="F35" s="20"/>
      <c r="G35" s="27" t="s">
        <v>174</v>
      </c>
      <c r="H35" s="20"/>
      <c r="I35" s="27" t="s">
        <v>174</v>
      </c>
      <c r="J35" s="20"/>
      <c r="K35" s="26"/>
      <c r="L35" s="20"/>
      <c r="M35" s="26"/>
      <c r="N35" s="20"/>
    </row>
    <row r="36" spans="1:14" ht="18" customHeight="1">
      <c r="A36" s="19" t="s">
        <v>188</v>
      </c>
      <c r="B36" s="20"/>
      <c r="C36" s="19" t="s">
        <v>188</v>
      </c>
      <c r="D36" s="20"/>
      <c r="E36" s="19" t="s">
        <v>188</v>
      </c>
      <c r="F36" s="20"/>
      <c r="G36" s="19" t="s">
        <v>188</v>
      </c>
      <c r="H36" s="20"/>
      <c r="I36" s="19" t="s">
        <v>188</v>
      </c>
      <c r="J36" s="20"/>
      <c r="K36" s="19" t="s">
        <v>188</v>
      </c>
      <c r="L36" s="20"/>
      <c r="M36" s="19" t="s">
        <v>188</v>
      </c>
      <c r="N36" s="20"/>
    </row>
    <row r="37" spans="1:14" ht="18" customHeight="1">
      <c r="A37" s="21" t="s">
        <v>206</v>
      </c>
      <c r="B37" s="20"/>
      <c r="C37" s="21" t="s">
        <v>206</v>
      </c>
      <c r="D37" s="20"/>
      <c r="E37" s="21" t="s">
        <v>206</v>
      </c>
      <c r="F37" s="20"/>
      <c r="G37" s="21" t="s">
        <v>206</v>
      </c>
      <c r="H37" s="20"/>
      <c r="I37" s="21" t="s">
        <v>206</v>
      </c>
      <c r="J37" s="20"/>
      <c r="K37" s="30"/>
      <c r="L37" s="20"/>
      <c r="M37" s="30"/>
      <c r="N37" s="20"/>
    </row>
    <row r="38" spans="1:14" ht="18" customHeight="1">
      <c r="A38" s="56"/>
      <c r="B38" s="20"/>
      <c r="C38" s="56"/>
      <c r="D38" s="20"/>
      <c r="E38" s="56"/>
      <c r="F38" s="20"/>
      <c r="G38" s="56"/>
      <c r="H38" s="20"/>
      <c r="I38" s="56"/>
      <c r="J38" s="20"/>
      <c r="K38" s="56"/>
      <c r="L38" s="20"/>
      <c r="M38" s="56"/>
      <c r="N38" s="20"/>
    </row>
    <row r="39" spans="1:14" ht="18" customHeight="1">
      <c r="A39" s="23"/>
      <c r="B39" s="20"/>
      <c r="C39" s="22"/>
      <c r="D39" s="20"/>
      <c r="E39" s="23"/>
      <c r="F39" s="20"/>
      <c r="G39" s="22"/>
      <c r="H39" s="20"/>
      <c r="I39" s="22"/>
      <c r="J39" s="20"/>
      <c r="K39" s="22"/>
      <c r="L39" s="20"/>
      <c r="M39" s="22"/>
      <c r="N39" s="20"/>
    </row>
    <row r="40" spans="1:14" ht="18" customHeight="1">
      <c r="A40" s="25"/>
      <c r="B40" s="20"/>
      <c r="C40" s="25"/>
      <c r="D40" s="20"/>
      <c r="E40" s="25"/>
      <c r="F40" s="20"/>
      <c r="G40" s="25"/>
      <c r="H40" s="20"/>
      <c r="I40" s="25"/>
      <c r="J40" s="20"/>
      <c r="K40" s="25"/>
      <c r="L40" s="20"/>
      <c r="M40" s="25"/>
      <c r="N40" s="20"/>
    </row>
    <row r="41" spans="1:14" ht="18" customHeight="1">
      <c r="A41" s="58"/>
      <c r="B41" s="24"/>
      <c r="C41" s="58"/>
      <c r="D41" s="24"/>
      <c r="E41" s="58"/>
      <c r="F41" s="24"/>
      <c r="G41" s="58"/>
      <c r="H41" s="24"/>
      <c r="I41" s="58"/>
      <c r="J41" s="24"/>
      <c r="K41" s="58"/>
      <c r="L41" s="24"/>
      <c r="M41" s="58"/>
      <c r="N41" s="24"/>
    </row>
    <row r="42" spans="1:14" ht="18" customHeight="1">
      <c r="A42" s="2">
        <f>IF(M33="","",IF(MONTH(M33+1)&lt;&gt;MONTH($A$1),"",M33+1))</f>
        <v>46531</v>
      </c>
      <c r="B42" s="3"/>
      <c r="C42" s="2">
        <f>IF(A42="","",IF(MONTH(A42+1)&lt;&gt;MONTH($A$1),"",A42+1))</f>
        <v>46532</v>
      </c>
      <c r="D42" s="3"/>
      <c r="E42" s="2">
        <v>26</v>
      </c>
      <c r="F42" s="3"/>
      <c r="G42" s="2">
        <v>27</v>
      </c>
      <c r="H42" s="3"/>
      <c r="I42" s="2">
        <v>28</v>
      </c>
      <c r="J42" s="3"/>
      <c r="K42" s="4">
        <v>29</v>
      </c>
      <c r="L42" s="5"/>
      <c r="M42" s="4">
        <v>30</v>
      </c>
      <c r="N42" s="5"/>
    </row>
    <row r="43" spans="1:14" ht="18" customHeight="1">
      <c r="A43" s="29" t="s">
        <v>201</v>
      </c>
      <c r="B43" s="20"/>
      <c r="C43" s="29" t="s">
        <v>201</v>
      </c>
      <c r="D43" s="20"/>
      <c r="E43" s="29" t="s">
        <v>201</v>
      </c>
      <c r="F43" s="20"/>
      <c r="G43" s="29" t="s">
        <v>201</v>
      </c>
      <c r="H43" s="20"/>
      <c r="I43" s="29" t="s">
        <v>201</v>
      </c>
      <c r="J43" s="20"/>
      <c r="K43" s="29" t="s">
        <v>201</v>
      </c>
      <c r="L43" s="20"/>
      <c r="M43" s="29" t="s">
        <v>201</v>
      </c>
      <c r="N43" s="20"/>
    </row>
    <row r="44" spans="1:14" ht="18" customHeight="1">
      <c r="A44" s="27" t="s">
        <v>203</v>
      </c>
      <c r="B44" s="20"/>
      <c r="C44" s="27" t="s">
        <v>203</v>
      </c>
      <c r="D44" s="20"/>
      <c r="E44" s="27" t="s">
        <v>203</v>
      </c>
      <c r="F44" s="20"/>
      <c r="G44" s="27" t="s">
        <v>203</v>
      </c>
      <c r="H44" s="20"/>
      <c r="I44" s="27" t="s">
        <v>203</v>
      </c>
      <c r="J44" s="20"/>
      <c r="K44" s="27"/>
      <c r="L44" s="20"/>
      <c r="M44" s="27"/>
      <c r="N44" s="20"/>
    </row>
    <row r="45" spans="1:14" ht="18" customHeight="1">
      <c r="A45" s="19" t="s">
        <v>177</v>
      </c>
      <c r="B45" s="20"/>
      <c r="C45" s="19" t="s">
        <v>177</v>
      </c>
      <c r="D45" s="20"/>
      <c r="E45" s="19" t="s">
        <v>177</v>
      </c>
      <c r="F45" s="20"/>
      <c r="G45" s="19" t="s">
        <v>177</v>
      </c>
      <c r="H45" s="20"/>
      <c r="I45" s="19" t="s">
        <v>177</v>
      </c>
      <c r="J45" s="20"/>
      <c r="K45" s="19" t="s">
        <v>177</v>
      </c>
      <c r="L45" s="20"/>
      <c r="M45" s="19" t="s">
        <v>177</v>
      </c>
      <c r="N45" s="20"/>
    </row>
    <row r="46" spans="1:14" ht="18" customHeight="1">
      <c r="A46" s="21" t="s">
        <v>202</v>
      </c>
      <c r="B46" s="20"/>
      <c r="C46" s="21" t="s">
        <v>202</v>
      </c>
      <c r="D46" s="20"/>
      <c r="E46" s="21" t="s">
        <v>202</v>
      </c>
      <c r="F46" s="20"/>
      <c r="G46" s="21" t="s">
        <v>202</v>
      </c>
      <c r="H46" s="20"/>
      <c r="I46" s="21" t="s">
        <v>202</v>
      </c>
      <c r="J46" s="20"/>
      <c r="K46" s="30"/>
      <c r="L46" s="20"/>
      <c r="M46" s="30"/>
      <c r="N46" s="20"/>
    </row>
    <row r="47" spans="1:14" ht="18" customHeight="1">
      <c r="A47" s="56"/>
      <c r="B47" s="20"/>
      <c r="C47" s="56"/>
      <c r="D47" s="20"/>
      <c r="E47" s="56"/>
      <c r="F47" s="20"/>
      <c r="G47" s="56"/>
      <c r="H47" s="20"/>
      <c r="I47" s="56"/>
      <c r="J47" s="20"/>
      <c r="K47" s="57"/>
      <c r="L47" s="20"/>
      <c r="M47" s="57"/>
      <c r="N47" s="20"/>
    </row>
    <row r="48" spans="1:14" ht="18" customHeight="1">
      <c r="A48" s="23"/>
      <c r="B48" s="20"/>
      <c r="C48" s="22"/>
      <c r="D48" s="20"/>
      <c r="E48" s="23"/>
      <c r="F48" s="20"/>
      <c r="G48" s="22"/>
      <c r="H48" s="20"/>
      <c r="I48" s="22"/>
      <c r="J48" s="20"/>
      <c r="K48" s="22"/>
      <c r="L48" s="20"/>
      <c r="M48" s="22"/>
      <c r="N48" s="20"/>
    </row>
    <row r="49" spans="1:14" ht="18" customHeight="1">
      <c r="A49" s="25"/>
      <c r="B49" s="20"/>
      <c r="C49" s="25"/>
      <c r="D49" s="20"/>
      <c r="E49" s="25"/>
      <c r="F49" s="20"/>
      <c r="G49" s="25"/>
      <c r="H49" s="20"/>
      <c r="I49" s="25"/>
      <c r="J49" s="20"/>
      <c r="K49" s="25"/>
      <c r="L49" s="20"/>
      <c r="M49" s="25"/>
      <c r="N49" s="20"/>
    </row>
    <row r="50" spans="1:14" ht="18" customHeight="1">
      <c r="A50" s="58"/>
      <c r="B50" s="24"/>
      <c r="C50" s="58"/>
      <c r="D50" s="24"/>
      <c r="E50" s="58"/>
      <c r="F50" s="24"/>
      <c r="G50" s="58"/>
      <c r="H50" s="24"/>
      <c r="I50" s="58"/>
      <c r="J50" s="24"/>
      <c r="K50" s="58"/>
      <c r="L50" s="24"/>
      <c r="M50" s="58"/>
      <c r="N50" s="24"/>
    </row>
    <row r="51" spans="1:14" ht="18" customHeight="1">
      <c r="A51" s="2">
        <v>31</v>
      </c>
      <c r="B51" s="3" t="s">
        <v>217</v>
      </c>
      <c r="C51" s="2"/>
      <c r="D51" s="3"/>
      <c r="E51" s="46" t="s">
        <v>22</v>
      </c>
      <c r="F51" s="47"/>
      <c r="G51" s="48"/>
      <c r="H51" s="47"/>
      <c r="I51" s="47"/>
      <c r="J51" s="47"/>
      <c r="K51" s="47"/>
      <c r="L51" s="47"/>
      <c r="M51" s="47"/>
      <c r="N51" s="49"/>
    </row>
    <row r="52" spans="1:14" ht="18" customHeight="1">
      <c r="A52" s="29" t="s">
        <v>201</v>
      </c>
      <c r="B52" s="20"/>
      <c r="C52" s="44"/>
      <c r="D52" s="20"/>
      <c r="E52" s="45"/>
      <c r="F52" s="37"/>
      <c r="G52" s="37"/>
      <c r="H52" s="37"/>
      <c r="I52" s="37"/>
      <c r="J52" s="37"/>
      <c r="K52" s="37"/>
      <c r="L52" s="37"/>
      <c r="M52" s="37"/>
      <c r="N52" s="20"/>
    </row>
    <row r="53" spans="1:14" ht="18" customHeight="1">
      <c r="A53" s="27"/>
      <c r="B53" s="20"/>
      <c r="C53" s="26"/>
      <c r="D53" s="20"/>
      <c r="E53" s="45"/>
      <c r="F53" s="37"/>
      <c r="G53" s="37"/>
      <c r="H53" s="37"/>
      <c r="I53" s="37"/>
      <c r="J53" s="37"/>
      <c r="K53" s="37"/>
      <c r="L53" s="37"/>
      <c r="M53" s="37"/>
      <c r="N53" s="20"/>
    </row>
    <row r="54" spans="1:14" ht="18" customHeight="1">
      <c r="A54" s="19" t="s">
        <v>177</v>
      </c>
      <c r="B54" s="20"/>
      <c r="C54" s="35"/>
      <c r="D54" s="20"/>
      <c r="E54" s="45"/>
      <c r="F54" s="37"/>
      <c r="G54" s="37"/>
      <c r="H54" s="37"/>
      <c r="I54" s="37"/>
      <c r="J54" s="37"/>
      <c r="K54" s="37"/>
      <c r="L54" s="37"/>
      <c r="M54" s="37"/>
      <c r="N54" s="20"/>
    </row>
    <row r="55" spans="1:14" ht="18" customHeight="1">
      <c r="A55" s="21"/>
      <c r="B55" s="20"/>
      <c r="C55" s="30"/>
      <c r="D55" s="20"/>
      <c r="E55" s="6"/>
      <c r="F55" s="7"/>
      <c r="G55" s="7"/>
      <c r="H55" s="7"/>
      <c r="I55" s="7"/>
      <c r="J55" s="7"/>
      <c r="K55" s="7"/>
      <c r="L55" s="7"/>
      <c r="M55" s="7"/>
      <c r="N55" s="8"/>
    </row>
    <row r="56" spans="1:14" ht="18" customHeight="1">
      <c r="A56" s="56"/>
      <c r="B56" s="20"/>
      <c r="C56" s="57"/>
      <c r="D56" s="20"/>
      <c r="E56" s="6"/>
      <c r="F56" s="7"/>
      <c r="G56" s="7"/>
      <c r="H56" s="7"/>
      <c r="I56" s="7"/>
      <c r="J56" s="7"/>
      <c r="K56" s="7"/>
      <c r="L56" s="7"/>
      <c r="M56" s="7"/>
      <c r="N56" s="8"/>
    </row>
    <row r="57" spans="1:14" ht="18" customHeight="1">
      <c r="A57" s="23"/>
      <c r="B57" s="20"/>
      <c r="C57" s="22"/>
      <c r="D57" s="20"/>
      <c r="E57" s="6"/>
      <c r="F57" s="7"/>
      <c r="G57" s="7"/>
      <c r="H57" s="7"/>
      <c r="I57" s="7"/>
      <c r="J57" s="7"/>
      <c r="K57" s="7"/>
      <c r="L57" s="7"/>
      <c r="M57" s="7"/>
      <c r="N57" s="8"/>
    </row>
    <row r="58" spans="1:14" ht="18" customHeight="1">
      <c r="A58" s="25"/>
      <c r="B58" s="20"/>
      <c r="C58" s="31"/>
      <c r="D58" s="24"/>
      <c r="E58" s="32" t="s">
        <v>23</v>
      </c>
      <c r="F58" s="33"/>
      <c r="G58" s="33"/>
      <c r="H58" s="33"/>
      <c r="I58" s="34" t="str">
        <f>HYPERLINK("https://www.vertex42.com/calendars/academic-calendar.html","https://www.vertex42.com/calendars/academic-calendar.html")</f>
        <v>https://www.vertex42.com/calendars/academic-calendar.html</v>
      </c>
      <c r="J58" s="33"/>
      <c r="K58" s="33"/>
      <c r="L58" s="33"/>
      <c r="M58" s="33"/>
      <c r="N58" s="24"/>
    </row>
  </sheetData>
  <mergeCells count="319">
    <mergeCell ref="I29:J29"/>
    <mergeCell ref="I30:J30"/>
    <mergeCell ref="M18:N18"/>
    <mergeCell ref="M17:N17"/>
    <mergeCell ref="M22:N22"/>
    <mergeCell ref="M23:N23"/>
    <mergeCell ref="M21:N21"/>
    <mergeCell ref="M16:N16"/>
    <mergeCell ref="I35:J35"/>
    <mergeCell ref="K34:L34"/>
    <mergeCell ref="K29:L29"/>
    <mergeCell ref="K32:L32"/>
    <mergeCell ref="M27:N27"/>
    <mergeCell ref="M20:N20"/>
    <mergeCell ref="M19:N19"/>
    <mergeCell ref="M26:N26"/>
    <mergeCell ref="M25:N25"/>
    <mergeCell ref="I16:J16"/>
    <mergeCell ref="K16:L16"/>
    <mergeCell ref="K25:L25"/>
    <mergeCell ref="K27:L27"/>
    <mergeCell ref="K26:L26"/>
    <mergeCell ref="K23:L23"/>
    <mergeCell ref="K22:L22"/>
    <mergeCell ref="M46:N46"/>
    <mergeCell ref="M29:N29"/>
    <mergeCell ref="M32:N32"/>
    <mergeCell ref="M35:N35"/>
    <mergeCell ref="M37:N37"/>
    <mergeCell ref="M36:N36"/>
    <mergeCell ref="M44:N44"/>
    <mergeCell ref="M43:N43"/>
    <mergeCell ref="M30:N30"/>
    <mergeCell ref="K28:L28"/>
    <mergeCell ref="M34:N34"/>
    <mergeCell ref="M31:N31"/>
    <mergeCell ref="M38:N38"/>
    <mergeCell ref="M28:N28"/>
    <mergeCell ref="M40:N40"/>
    <mergeCell ref="M39:N39"/>
    <mergeCell ref="M41:N41"/>
    <mergeCell ref="M45:N45"/>
    <mergeCell ref="K30:L30"/>
    <mergeCell ref="K31:L31"/>
    <mergeCell ref="K36:L36"/>
    <mergeCell ref="K35:L35"/>
    <mergeCell ref="C11:D11"/>
    <mergeCell ref="G11:H11"/>
    <mergeCell ref="C14:D14"/>
    <mergeCell ref="M7:N7"/>
    <mergeCell ref="K7:L7"/>
    <mergeCell ref="K8:L8"/>
    <mergeCell ref="M8:N8"/>
    <mergeCell ref="M9:N9"/>
    <mergeCell ref="M10:N10"/>
    <mergeCell ref="K10:L10"/>
    <mergeCell ref="K11:L11"/>
    <mergeCell ref="M14:N14"/>
    <mergeCell ref="M11:N11"/>
    <mergeCell ref="M13:N13"/>
    <mergeCell ref="M12:N12"/>
    <mergeCell ref="K9:L9"/>
    <mergeCell ref="C12:D12"/>
    <mergeCell ref="C13:D13"/>
    <mergeCell ref="K14:L14"/>
    <mergeCell ref="E10:F10"/>
    <mergeCell ref="C10:D10"/>
    <mergeCell ref="C7:D7"/>
    <mergeCell ref="C9:D9"/>
    <mergeCell ref="C8:D8"/>
    <mergeCell ref="K17:L17"/>
    <mergeCell ref="G17:H17"/>
    <mergeCell ref="K21:L21"/>
    <mergeCell ref="K20:L20"/>
    <mergeCell ref="K19:L19"/>
    <mergeCell ref="K18:L18"/>
    <mergeCell ref="A2:N2"/>
    <mergeCell ref="A4:N4"/>
    <mergeCell ref="A1:B1"/>
    <mergeCell ref="K5:L5"/>
    <mergeCell ref="K1:N1"/>
    <mergeCell ref="M3:N3"/>
    <mergeCell ref="K3:L3"/>
    <mergeCell ref="G10:H10"/>
    <mergeCell ref="G13:H13"/>
    <mergeCell ref="I12:J12"/>
    <mergeCell ref="E12:F12"/>
    <mergeCell ref="E11:F11"/>
    <mergeCell ref="M5:N5"/>
    <mergeCell ref="K12:L12"/>
    <mergeCell ref="K13:L13"/>
    <mergeCell ref="I11:J11"/>
    <mergeCell ref="G9:H9"/>
    <mergeCell ref="G8:H8"/>
    <mergeCell ref="M49:N49"/>
    <mergeCell ref="E52:N52"/>
    <mergeCell ref="G51:N51"/>
    <mergeCell ref="M50:N50"/>
    <mergeCell ref="G50:H50"/>
    <mergeCell ref="C48:D48"/>
    <mergeCell ref="A48:B48"/>
    <mergeCell ref="K48:L48"/>
    <mergeCell ref="K47:L47"/>
    <mergeCell ref="C50:D50"/>
    <mergeCell ref="C47:D47"/>
    <mergeCell ref="A47:B47"/>
    <mergeCell ref="E47:F47"/>
    <mergeCell ref="E48:F48"/>
    <mergeCell ref="I50:J50"/>
    <mergeCell ref="K50:L50"/>
    <mergeCell ref="M47:N47"/>
    <mergeCell ref="M48:N48"/>
    <mergeCell ref="I47:J47"/>
    <mergeCell ref="I48:J48"/>
    <mergeCell ref="I49:J49"/>
    <mergeCell ref="K49:L49"/>
    <mergeCell ref="E50:F50"/>
    <mergeCell ref="E51:F51"/>
    <mergeCell ref="E53:N53"/>
    <mergeCell ref="C53:D53"/>
    <mergeCell ref="A53:B53"/>
    <mergeCell ref="A56:B56"/>
    <mergeCell ref="A57:B57"/>
    <mergeCell ref="A58:B58"/>
    <mergeCell ref="A54:B54"/>
    <mergeCell ref="A55:B55"/>
    <mergeCell ref="E54:N54"/>
    <mergeCell ref="I58:N58"/>
    <mergeCell ref="E58:H58"/>
    <mergeCell ref="C58:D58"/>
    <mergeCell ref="C54:D54"/>
    <mergeCell ref="C55:D55"/>
    <mergeCell ref="C56:D56"/>
    <mergeCell ref="C57:D57"/>
    <mergeCell ref="A52:B52"/>
    <mergeCell ref="A50:B50"/>
    <mergeCell ref="C52:D52"/>
    <mergeCell ref="E49:F49"/>
    <mergeCell ref="G49:H49"/>
    <mergeCell ref="C49:D49"/>
    <mergeCell ref="A49:B49"/>
    <mergeCell ref="A44:B44"/>
    <mergeCell ref="G44:H44"/>
    <mergeCell ref="E44:F44"/>
    <mergeCell ref="G47:H47"/>
    <mergeCell ref="G48:H48"/>
    <mergeCell ref="A46:B46"/>
    <mergeCell ref="E46:F46"/>
    <mergeCell ref="C46:D46"/>
    <mergeCell ref="C45:D45"/>
    <mergeCell ref="A45:B45"/>
    <mergeCell ref="E45:F45"/>
    <mergeCell ref="C44:D44"/>
    <mergeCell ref="A38:B38"/>
    <mergeCell ref="A39:B39"/>
    <mergeCell ref="A40:B40"/>
    <mergeCell ref="A41:B41"/>
    <mergeCell ref="A43:B43"/>
    <mergeCell ref="C43:D43"/>
    <mergeCell ref="G43:H43"/>
    <mergeCell ref="I43:J43"/>
    <mergeCell ref="E43:F43"/>
    <mergeCell ref="I41:J41"/>
    <mergeCell ref="G40:H40"/>
    <mergeCell ref="G39:H39"/>
    <mergeCell ref="G38:H38"/>
    <mergeCell ref="I38:J38"/>
    <mergeCell ref="E38:F38"/>
    <mergeCell ref="C38:D38"/>
    <mergeCell ref="C39:D39"/>
    <mergeCell ref="E39:F39"/>
    <mergeCell ref="G41:H41"/>
    <mergeCell ref="C40:D40"/>
    <mergeCell ref="C41:D41"/>
    <mergeCell ref="E41:F41"/>
    <mergeCell ref="E40:F40"/>
    <mergeCell ref="I34:J34"/>
    <mergeCell ref="I36:J36"/>
    <mergeCell ref="I31:J31"/>
    <mergeCell ref="I32:J32"/>
    <mergeCell ref="G46:H46"/>
    <mergeCell ref="G45:H45"/>
    <mergeCell ref="K46:L46"/>
    <mergeCell ref="K45:L45"/>
    <mergeCell ref="I39:J39"/>
    <mergeCell ref="I40:J40"/>
    <mergeCell ref="I37:J37"/>
    <mergeCell ref="K44:L44"/>
    <mergeCell ref="I46:J46"/>
    <mergeCell ref="I45:J45"/>
    <mergeCell ref="I44:J44"/>
    <mergeCell ref="G37:H37"/>
    <mergeCell ref="K39:L39"/>
    <mergeCell ref="K38:L38"/>
    <mergeCell ref="K43:L43"/>
    <mergeCell ref="K37:L37"/>
    <mergeCell ref="K41:L41"/>
    <mergeCell ref="K40:L40"/>
    <mergeCell ref="I13:J13"/>
    <mergeCell ref="I26:J26"/>
    <mergeCell ref="I25:J25"/>
    <mergeCell ref="G18:H18"/>
    <mergeCell ref="I21:J21"/>
    <mergeCell ref="I20:J20"/>
    <mergeCell ref="I18:J18"/>
    <mergeCell ref="I19:J19"/>
    <mergeCell ref="I23:J23"/>
    <mergeCell ref="I22:J22"/>
    <mergeCell ref="G21:H21"/>
    <mergeCell ref="I27:J27"/>
    <mergeCell ref="I14:J14"/>
    <mergeCell ref="G14:H14"/>
    <mergeCell ref="I17:J17"/>
    <mergeCell ref="I28:J28"/>
    <mergeCell ref="A23:B23"/>
    <mergeCell ref="A27:B27"/>
    <mergeCell ref="A26:B26"/>
    <mergeCell ref="A25:B25"/>
    <mergeCell ref="A28:B28"/>
    <mergeCell ref="E25:F25"/>
    <mergeCell ref="E23:F23"/>
    <mergeCell ref="G16:H16"/>
    <mergeCell ref="E16:F16"/>
    <mergeCell ref="G20:H20"/>
    <mergeCell ref="G22:H22"/>
    <mergeCell ref="C22:D22"/>
    <mergeCell ref="C25:D25"/>
    <mergeCell ref="C16:D16"/>
    <mergeCell ref="C17:D17"/>
    <mergeCell ref="C18:D18"/>
    <mergeCell ref="C19:D19"/>
    <mergeCell ref="C28:D28"/>
    <mergeCell ref="C27:D27"/>
    <mergeCell ref="A3:B3"/>
    <mergeCell ref="A5:B5"/>
    <mergeCell ref="A8:B8"/>
    <mergeCell ref="A13:B13"/>
    <mergeCell ref="A14:B14"/>
    <mergeCell ref="A21:B21"/>
    <mergeCell ref="A22:B22"/>
    <mergeCell ref="A17:B17"/>
    <mergeCell ref="A18:B18"/>
    <mergeCell ref="A16:B16"/>
    <mergeCell ref="A20:B20"/>
    <mergeCell ref="A19:B19"/>
    <mergeCell ref="A10:B10"/>
    <mergeCell ref="A7:B7"/>
    <mergeCell ref="A9:B9"/>
    <mergeCell ref="A11:B11"/>
    <mergeCell ref="A12:B12"/>
    <mergeCell ref="I3:J3"/>
    <mergeCell ref="I9:J9"/>
    <mergeCell ref="I5:J5"/>
    <mergeCell ref="I8:J8"/>
    <mergeCell ref="I7:J7"/>
    <mergeCell ref="I10:J10"/>
    <mergeCell ref="E3:F3"/>
    <mergeCell ref="G5:H5"/>
    <mergeCell ref="G3:H3"/>
    <mergeCell ref="G7:H7"/>
    <mergeCell ref="E7:F7"/>
    <mergeCell ref="E9:F9"/>
    <mergeCell ref="E8:F8"/>
    <mergeCell ref="C3:D3"/>
    <mergeCell ref="E5:F5"/>
    <mergeCell ref="C5:D5"/>
    <mergeCell ref="E27:F27"/>
    <mergeCell ref="E28:F28"/>
    <mergeCell ref="G26:H26"/>
    <mergeCell ref="G25:H25"/>
    <mergeCell ref="G32:H32"/>
    <mergeCell ref="G36:H36"/>
    <mergeCell ref="C21:D21"/>
    <mergeCell ref="C20:D20"/>
    <mergeCell ref="G19:H19"/>
    <mergeCell ref="E19:F19"/>
    <mergeCell ref="E21:F21"/>
    <mergeCell ref="E20:F20"/>
    <mergeCell ref="E18:F18"/>
    <mergeCell ref="E17:F17"/>
    <mergeCell ref="C23:D23"/>
    <mergeCell ref="G23:H23"/>
    <mergeCell ref="E29:F29"/>
    <mergeCell ref="E13:F13"/>
    <mergeCell ref="G12:H12"/>
    <mergeCell ref="E14:F14"/>
    <mergeCell ref="E22:F22"/>
    <mergeCell ref="A37:B37"/>
    <mergeCell ref="C32:D32"/>
    <mergeCell ref="C31:D31"/>
    <mergeCell ref="E32:F32"/>
    <mergeCell ref="A32:B32"/>
    <mergeCell ref="E30:F30"/>
    <mergeCell ref="A34:B34"/>
    <mergeCell ref="A35:B35"/>
    <mergeCell ref="A31:B31"/>
    <mergeCell ref="A30:B30"/>
    <mergeCell ref="C30:D30"/>
    <mergeCell ref="E35:F35"/>
    <mergeCell ref="E34:F34"/>
    <mergeCell ref="C36:D36"/>
    <mergeCell ref="E36:F36"/>
    <mergeCell ref="A36:B36"/>
    <mergeCell ref="E37:F37"/>
    <mergeCell ref="C37:D37"/>
    <mergeCell ref="A29:B29"/>
    <mergeCell ref="G30:H30"/>
    <mergeCell ref="C35:D35"/>
    <mergeCell ref="C34:D34"/>
    <mergeCell ref="G35:H35"/>
    <mergeCell ref="G29:H29"/>
    <mergeCell ref="C26:D26"/>
    <mergeCell ref="E31:F31"/>
    <mergeCell ref="E26:F26"/>
    <mergeCell ref="G34:H34"/>
    <mergeCell ref="G28:H28"/>
    <mergeCell ref="G27:H27"/>
    <mergeCell ref="C29:D29"/>
    <mergeCell ref="G31:H31"/>
  </mergeCells>
  <printOptions horizontalCentered="1" gridLines="1"/>
  <pageMargins left="0.5" right="0.5" top="0.25" bottom="0.25" header="0" footer="0"/>
  <pageSetup scale="80" pageOrder="overThenDown" orientation="portrait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  <pageSetUpPr fitToPage="1"/>
  </sheetPr>
  <dimension ref="A1:N58"/>
  <sheetViews>
    <sheetView showGridLines="0" topLeftCell="A4" workbookViewId="0">
      <selection activeCell="A37" sqref="A37:J37"/>
    </sheetView>
  </sheetViews>
  <sheetFormatPr defaultColWidth="12.5703125" defaultRowHeight="12.75" customHeight="1"/>
  <cols>
    <col min="1" max="1" width="3.85546875" customWidth="1"/>
    <col min="2" max="2" width="13.42578125" customWidth="1"/>
    <col min="3" max="3" width="3.85546875" customWidth="1"/>
    <col min="4" max="4" width="13.42578125" customWidth="1"/>
    <col min="5" max="5" width="3.85546875" customWidth="1"/>
    <col min="6" max="6" width="13.42578125" customWidth="1"/>
    <col min="7" max="7" width="3.85546875" customWidth="1"/>
    <col min="8" max="8" width="13.42578125" customWidth="1"/>
    <col min="9" max="9" width="3.85546875" customWidth="1"/>
    <col min="10" max="10" width="15.42578125" customWidth="1"/>
    <col min="11" max="11" width="3.85546875" customWidth="1"/>
    <col min="12" max="12" width="13.42578125" customWidth="1"/>
    <col min="13" max="13" width="3.85546875" customWidth="1"/>
    <col min="14" max="14" width="13.42578125" customWidth="1"/>
  </cols>
  <sheetData>
    <row r="1" spans="1:14" ht="18" customHeight="1">
      <c r="A1" s="36">
        <f>EDATE('©'!A17,47)</f>
        <v>46539</v>
      </c>
      <c r="B1" s="37"/>
      <c r="C1" s="1"/>
      <c r="D1" s="1"/>
      <c r="E1" s="1"/>
      <c r="F1" s="1"/>
      <c r="G1" s="1"/>
      <c r="H1" s="1"/>
      <c r="I1" s="1"/>
      <c r="J1" s="1"/>
      <c r="K1" s="38" t="s">
        <v>0</v>
      </c>
      <c r="L1" s="37"/>
      <c r="M1" s="37"/>
      <c r="N1" s="37"/>
    </row>
    <row r="2" spans="1:14" ht="18" customHeight="1">
      <c r="A2" s="39" t="s">
        <v>166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1:14" ht="18" customHeight="1">
      <c r="A3" s="29" t="s">
        <v>167</v>
      </c>
      <c r="B3" s="37"/>
      <c r="C3" s="27" t="s">
        <v>168</v>
      </c>
      <c r="D3" s="37"/>
      <c r="E3" s="19" t="s">
        <v>169</v>
      </c>
      <c r="F3" s="37"/>
      <c r="G3" s="21" t="s">
        <v>170</v>
      </c>
      <c r="H3" s="37"/>
      <c r="I3" s="56" t="s">
        <v>171</v>
      </c>
      <c r="J3" s="37"/>
      <c r="K3" s="23" t="s">
        <v>172</v>
      </c>
      <c r="L3" s="37"/>
      <c r="M3" s="25" t="s">
        <v>173</v>
      </c>
      <c r="N3" s="37"/>
    </row>
    <row r="4" spans="1:14" ht="69" customHeight="1">
      <c r="A4" s="42" t="str">
        <f>UPPER(TEXT(A1,"mmmm yyyy"))</f>
        <v>JUNE 2027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</row>
    <row r="5" spans="1:14" ht="18" customHeight="1">
      <c r="A5" s="40">
        <f>A15</f>
        <v>46545</v>
      </c>
      <c r="B5" s="41"/>
      <c r="C5" s="40">
        <f>C15</f>
        <v>46546</v>
      </c>
      <c r="D5" s="41"/>
      <c r="E5" s="40">
        <f>E15</f>
        <v>46547</v>
      </c>
      <c r="F5" s="41"/>
      <c r="G5" s="40">
        <f>G15</f>
        <v>46548</v>
      </c>
      <c r="H5" s="41"/>
      <c r="I5" s="40">
        <f>I15</f>
        <v>46549</v>
      </c>
      <c r="J5" s="41"/>
      <c r="K5" s="40">
        <f>K15</f>
        <v>46550</v>
      </c>
      <c r="L5" s="41"/>
      <c r="M5" s="40">
        <f>M15</f>
        <v>46551</v>
      </c>
      <c r="N5" s="41"/>
    </row>
    <row r="6" spans="1:14" ht="18" customHeight="1">
      <c r="A6" s="2" t="str">
        <f>IF(WEEKDAY($A$1,1)=startday,$A$1,"")</f>
        <v/>
      </c>
      <c r="B6" s="3"/>
      <c r="C6" s="2">
        <f>IF(A6="",IF(WEEKDAY($A$1,1)=MOD(startday,7)+1,$A$1,""),A6+1)</f>
        <v>46539</v>
      </c>
      <c r="D6" s="3"/>
      <c r="E6" s="2">
        <f>IF(C6="",IF(WEEKDAY($A$1,1)=MOD(startday,7)+2,$A$1,""),C6+1)</f>
        <v>46540</v>
      </c>
      <c r="F6" s="3"/>
      <c r="G6" s="2">
        <f>IF(E6="",IF(WEEKDAY($A$1,1)=MOD(startday,7)+3,$A$1,""),E6+1)</f>
        <v>46541</v>
      </c>
      <c r="H6" s="3"/>
      <c r="I6" s="2">
        <f>IF(G6="",IF(WEEKDAY($A$1,1)=MOD(startday,7)+4,$A$1,""),G6+1)</f>
        <v>46542</v>
      </c>
      <c r="J6" s="3"/>
      <c r="K6" s="4">
        <f>IF(I6="",IF(WEEKDAY($A$1,1)=MOD(startday,7)+5,$A$1,""),I6+1)</f>
        <v>46543</v>
      </c>
      <c r="L6" s="5"/>
      <c r="M6" s="4">
        <f>IF(K6="",IF(WEEKDAY($A$1,1)=MOD(startday+5,7)+1,$A$1,""),K6+1)</f>
        <v>46544</v>
      </c>
      <c r="N6" s="5"/>
    </row>
    <row r="7" spans="1:14" ht="18" customHeight="1">
      <c r="A7" s="29" t="s">
        <v>201</v>
      </c>
      <c r="B7" s="20"/>
      <c r="C7" s="29" t="s">
        <v>174</v>
      </c>
      <c r="D7" s="20"/>
      <c r="E7" s="29" t="s">
        <v>174</v>
      </c>
      <c r="F7" s="20"/>
      <c r="G7" s="29" t="s">
        <v>174</v>
      </c>
      <c r="H7" s="20"/>
      <c r="I7" s="29" t="s">
        <v>174</v>
      </c>
      <c r="J7" s="20"/>
      <c r="K7" s="29" t="s">
        <v>174</v>
      </c>
      <c r="L7" s="20"/>
      <c r="M7" s="29" t="s">
        <v>174</v>
      </c>
      <c r="N7" s="20"/>
    </row>
    <row r="8" spans="1:14" ht="18" customHeight="1">
      <c r="A8" s="27"/>
      <c r="B8" s="20"/>
      <c r="C8" s="27" t="s">
        <v>210</v>
      </c>
      <c r="D8" s="20"/>
      <c r="E8" s="27" t="s">
        <v>210</v>
      </c>
      <c r="F8" s="20"/>
      <c r="G8" s="27" t="s">
        <v>210</v>
      </c>
      <c r="H8" s="20"/>
      <c r="I8" s="27" t="s">
        <v>210</v>
      </c>
      <c r="J8" s="20"/>
      <c r="K8" s="27"/>
      <c r="L8" s="20"/>
      <c r="M8" s="27"/>
      <c r="N8" s="20"/>
    </row>
    <row r="9" spans="1:14" ht="18" customHeight="1">
      <c r="A9" s="19"/>
      <c r="B9" s="20"/>
      <c r="C9" s="19" t="s">
        <v>176</v>
      </c>
      <c r="D9" s="20"/>
      <c r="E9" s="19" t="s">
        <v>176</v>
      </c>
      <c r="F9" s="20"/>
      <c r="G9" s="19" t="s">
        <v>176</v>
      </c>
      <c r="H9" s="20"/>
      <c r="I9" s="19" t="s">
        <v>176</v>
      </c>
      <c r="J9" s="20"/>
      <c r="K9" s="19" t="s">
        <v>176</v>
      </c>
      <c r="L9" s="20"/>
      <c r="M9" s="19" t="s">
        <v>176</v>
      </c>
      <c r="N9" s="20"/>
    </row>
    <row r="10" spans="1:14" ht="18" customHeight="1">
      <c r="A10" s="21" t="s">
        <v>206</v>
      </c>
      <c r="B10" s="20"/>
      <c r="C10" s="21" t="s">
        <v>206</v>
      </c>
      <c r="D10" s="20"/>
      <c r="E10" s="21" t="s">
        <v>206</v>
      </c>
      <c r="F10" s="20"/>
      <c r="G10" s="21" t="s">
        <v>206</v>
      </c>
      <c r="H10" s="20"/>
      <c r="I10" s="21" t="s">
        <v>206</v>
      </c>
      <c r="J10" s="20"/>
      <c r="K10" s="30"/>
      <c r="L10" s="20"/>
      <c r="M10" s="30"/>
      <c r="N10" s="20"/>
    </row>
    <row r="11" spans="1:14" ht="18" customHeight="1">
      <c r="A11" s="56"/>
      <c r="B11" s="20"/>
      <c r="C11" s="57"/>
      <c r="D11" s="20"/>
      <c r="E11" s="56"/>
      <c r="F11" s="20"/>
      <c r="G11" s="56"/>
      <c r="H11" s="20"/>
      <c r="I11" s="56"/>
      <c r="J11" s="20"/>
      <c r="K11" s="56"/>
      <c r="L11" s="20"/>
      <c r="M11" s="56"/>
      <c r="N11" s="20"/>
    </row>
    <row r="12" spans="1:14" ht="18" customHeight="1">
      <c r="A12" s="23"/>
      <c r="B12" s="20"/>
      <c r="C12" s="22"/>
      <c r="D12" s="20"/>
      <c r="E12" s="23"/>
      <c r="F12" s="20"/>
      <c r="G12" s="22"/>
      <c r="H12" s="20"/>
      <c r="I12" s="22"/>
      <c r="J12" s="20"/>
      <c r="K12" s="22"/>
      <c r="L12" s="20"/>
      <c r="M12" s="22"/>
      <c r="N12" s="20"/>
    </row>
    <row r="13" spans="1:14" ht="18" customHeight="1">
      <c r="A13" s="25"/>
      <c r="B13" s="20"/>
      <c r="C13" s="25"/>
      <c r="D13" s="20"/>
      <c r="E13" s="25"/>
      <c r="F13" s="20"/>
      <c r="G13" s="25"/>
      <c r="H13" s="20"/>
      <c r="I13" s="25"/>
      <c r="J13" s="20"/>
      <c r="K13" s="25"/>
      <c r="L13" s="20"/>
      <c r="M13" s="25"/>
      <c r="N13" s="20"/>
    </row>
    <row r="14" spans="1:14" ht="18" customHeight="1">
      <c r="A14" s="58"/>
      <c r="B14" s="24"/>
      <c r="C14" s="58"/>
      <c r="D14" s="24"/>
      <c r="E14" s="58"/>
      <c r="F14" s="24"/>
      <c r="G14" s="58"/>
      <c r="H14" s="24"/>
      <c r="I14" s="58"/>
      <c r="J14" s="24"/>
      <c r="K14" s="58"/>
      <c r="L14" s="24"/>
      <c r="M14" s="58"/>
      <c r="N14" s="24"/>
    </row>
    <row r="15" spans="1:14" ht="18" customHeight="1">
      <c r="A15" s="2">
        <f>M6+1</f>
        <v>46545</v>
      </c>
      <c r="B15" s="3"/>
      <c r="C15" s="2">
        <f>A15+1</f>
        <v>46546</v>
      </c>
      <c r="D15" s="3"/>
      <c r="E15" s="2">
        <f>C15+1</f>
        <v>46547</v>
      </c>
      <c r="F15" s="3"/>
      <c r="G15" s="2">
        <f>E15+1</f>
        <v>46548</v>
      </c>
      <c r="H15" s="3"/>
      <c r="I15" s="2">
        <f>G15+1</f>
        <v>46549</v>
      </c>
      <c r="J15" s="3"/>
      <c r="K15" s="4">
        <f>I15+1</f>
        <v>46550</v>
      </c>
      <c r="L15" s="5"/>
      <c r="M15" s="4">
        <f>K15+1</f>
        <v>46551</v>
      </c>
      <c r="N15" s="5"/>
    </row>
    <row r="16" spans="1:14" ht="18" customHeight="1">
      <c r="A16" s="50" t="s">
        <v>194</v>
      </c>
      <c r="B16" s="51"/>
      <c r="C16" s="50" t="s">
        <v>194</v>
      </c>
      <c r="D16" s="51"/>
      <c r="E16" s="50" t="s">
        <v>194</v>
      </c>
      <c r="F16" s="51"/>
      <c r="G16" s="50" t="s">
        <v>194</v>
      </c>
      <c r="H16" s="51"/>
      <c r="I16" s="50" t="s">
        <v>194</v>
      </c>
      <c r="J16" s="51"/>
      <c r="K16" s="50" t="s">
        <v>194</v>
      </c>
      <c r="L16" s="51"/>
      <c r="M16" s="50" t="s">
        <v>194</v>
      </c>
      <c r="N16" s="51"/>
    </row>
    <row r="17" spans="1:14" ht="18" customHeight="1">
      <c r="A17" s="27" t="s">
        <v>186</v>
      </c>
      <c r="B17" s="28"/>
      <c r="C17" s="27" t="s">
        <v>186</v>
      </c>
      <c r="D17" s="28"/>
      <c r="E17" s="27" t="s">
        <v>186</v>
      </c>
      <c r="F17" s="28"/>
      <c r="G17" s="27" t="s">
        <v>186</v>
      </c>
      <c r="H17" s="28"/>
      <c r="I17" s="27" t="s">
        <v>186</v>
      </c>
      <c r="J17" s="28"/>
      <c r="K17" s="26"/>
      <c r="L17" s="20"/>
      <c r="M17" s="26"/>
      <c r="N17" s="20"/>
    </row>
    <row r="18" spans="1:14" ht="18" customHeight="1">
      <c r="A18" s="19" t="s">
        <v>206</v>
      </c>
      <c r="B18" s="20"/>
      <c r="C18" s="19" t="s">
        <v>206</v>
      </c>
      <c r="D18" s="20"/>
      <c r="E18" s="19" t="s">
        <v>206</v>
      </c>
      <c r="F18" s="20"/>
      <c r="G18" s="19" t="s">
        <v>206</v>
      </c>
      <c r="H18" s="20"/>
      <c r="I18" s="19" t="s">
        <v>206</v>
      </c>
      <c r="J18" s="20"/>
      <c r="K18" s="19" t="s">
        <v>206</v>
      </c>
      <c r="L18" s="20"/>
      <c r="M18" s="19" t="s">
        <v>206</v>
      </c>
      <c r="N18" s="20"/>
    </row>
    <row r="19" spans="1:14" ht="18" customHeight="1">
      <c r="A19" s="21" t="s">
        <v>176</v>
      </c>
      <c r="B19" s="20"/>
      <c r="C19" s="21" t="s">
        <v>176</v>
      </c>
      <c r="D19" s="20"/>
      <c r="E19" s="21" t="s">
        <v>176</v>
      </c>
      <c r="F19" s="20"/>
      <c r="G19" s="21" t="s">
        <v>176</v>
      </c>
      <c r="H19" s="20"/>
      <c r="I19" s="21" t="s">
        <v>176</v>
      </c>
      <c r="J19" s="20"/>
      <c r="K19" s="21"/>
      <c r="L19" s="20"/>
      <c r="M19" s="21"/>
      <c r="N19" s="20"/>
    </row>
    <row r="20" spans="1:14" ht="18" customHeight="1">
      <c r="A20" s="56"/>
      <c r="B20" s="20"/>
      <c r="C20" s="56"/>
      <c r="D20" s="20"/>
      <c r="E20" s="56"/>
      <c r="F20" s="20"/>
      <c r="G20" s="56"/>
      <c r="H20" s="20"/>
      <c r="I20" s="56"/>
      <c r="J20" s="20"/>
      <c r="K20" s="56"/>
      <c r="L20" s="20"/>
      <c r="M20" s="56"/>
      <c r="N20" s="20"/>
    </row>
    <row r="21" spans="1:14" ht="18" customHeight="1">
      <c r="A21" s="23"/>
      <c r="B21" s="20"/>
      <c r="C21" s="22"/>
      <c r="D21" s="20"/>
      <c r="E21" s="23"/>
      <c r="F21" s="20"/>
      <c r="G21" s="22"/>
      <c r="H21" s="20"/>
      <c r="I21" s="22"/>
      <c r="J21" s="20"/>
      <c r="K21" s="22"/>
      <c r="L21" s="20"/>
      <c r="M21" s="22"/>
      <c r="N21" s="20"/>
    </row>
    <row r="22" spans="1:14" ht="18" customHeight="1">
      <c r="A22" s="25"/>
      <c r="B22" s="20"/>
      <c r="C22" s="25"/>
      <c r="D22" s="20"/>
      <c r="E22" s="25"/>
      <c r="F22" s="20"/>
      <c r="G22" s="25"/>
      <c r="H22" s="20"/>
      <c r="I22" s="25"/>
      <c r="J22" s="20"/>
      <c r="K22" s="25"/>
      <c r="L22" s="20"/>
      <c r="M22" s="25"/>
      <c r="N22" s="20"/>
    </row>
    <row r="23" spans="1:14" ht="18" customHeight="1">
      <c r="A23" s="58"/>
      <c r="B23" s="24"/>
      <c r="C23" s="58"/>
      <c r="D23" s="24"/>
      <c r="E23" s="58"/>
      <c r="F23" s="24"/>
      <c r="G23" s="58"/>
      <c r="H23" s="24"/>
      <c r="I23" s="58"/>
      <c r="J23" s="24"/>
      <c r="K23" s="58"/>
      <c r="L23" s="24"/>
      <c r="M23" s="58"/>
      <c r="N23" s="24"/>
    </row>
    <row r="24" spans="1:14" ht="18" customHeight="1">
      <c r="A24" s="2">
        <f>M15+1</f>
        <v>46552</v>
      </c>
      <c r="B24" s="3"/>
      <c r="C24" s="2">
        <f>A24+1</f>
        <v>46553</v>
      </c>
      <c r="D24" s="3"/>
      <c r="E24" s="2">
        <f>C24+1</f>
        <v>46554</v>
      </c>
      <c r="F24" s="3"/>
      <c r="G24" s="2">
        <f>E24+1</f>
        <v>46555</v>
      </c>
      <c r="H24" s="3"/>
      <c r="I24" s="2">
        <f>G24+1</f>
        <v>46556</v>
      </c>
      <c r="J24" s="3"/>
      <c r="K24" s="4">
        <f>I24+1</f>
        <v>46557</v>
      </c>
      <c r="L24" s="5"/>
      <c r="M24" s="4">
        <f>K24+1</f>
        <v>46558</v>
      </c>
      <c r="N24" s="5"/>
    </row>
    <row r="25" spans="1:14" ht="18" customHeight="1">
      <c r="A25" s="29" t="s">
        <v>186</v>
      </c>
      <c r="B25" s="20"/>
      <c r="C25" s="29" t="s">
        <v>186</v>
      </c>
      <c r="D25" s="20"/>
      <c r="E25" s="29" t="s">
        <v>186</v>
      </c>
      <c r="F25" s="20"/>
      <c r="G25" s="29" t="s">
        <v>186</v>
      </c>
      <c r="H25" s="20"/>
      <c r="I25" s="29" t="s">
        <v>186</v>
      </c>
      <c r="J25" s="20"/>
      <c r="K25" s="29" t="s">
        <v>186</v>
      </c>
      <c r="L25" s="20"/>
      <c r="M25" s="29" t="s">
        <v>186</v>
      </c>
      <c r="N25" s="20"/>
    </row>
    <row r="26" spans="1:14" ht="18" customHeight="1">
      <c r="A26" s="27" t="s">
        <v>210</v>
      </c>
      <c r="B26" s="20"/>
      <c r="C26" s="27" t="s">
        <v>210</v>
      </c>
      <c r="D26" s="20"/>
      <c r="E26" s="27" t="s">
        <v>210</v>
      </c>
      <c r="F26" s="20"/>
      <c r="G26" s="27" t="s">
        <v>210</v>
      </c>
      <c r="H26" s="20"/>
      <c r="I26" s="27" t="s">
        <v>210</v>
      </c>
      <c r="J26" s="20"/>
      <c r="K26" s="26"/>
      <c r="L26" s="20"/>
      <c r="M26" s="26"/>
      <c r="N26" s="20"/>
    </row>
    <row r="27" spans="1:14" ht="18" customHeight="1">
      <c r="A27" s="19" t="s">
        <v>202</v>
      </c>
      <c r="B27" s="20"/>
      <c r="C27" s="19" t="s">
        <v>202</v>
      </c>
      <c r="D27" s="20"/>
      <c r="E27" s="19" t="s">
        <v>202</v>
      </c>
      <c r="F27" s="20"/>
      <c r="G27" s="19" t="s">
        <v>202</v>
      </c>
      <c r="H27" s="20"/>
      <c r="I27" s="19" t="s">
        <v>202</v>
      </c>
      <c r="J27" s="20"/>
      <c r="K27" s="19" t="s">
        <v>202</v>
      </c>
      <c r="L27" s="20"/>
      <c r="M27" s="19" t="s">
        <v>202</v>
      </c>
      <c r="N27" s="20"/>
    </row>
    <row r="28" spans="1:14" ht="18" customHeight="1">
      <c r="A28" s="21" t="s">
        <v>189</v>
      </c>
      <c r="B28" s="20"/>
      <c r="C28" s="21" t="s">
        <v>189</v>
      </c>
      <c r="D28" s="20"/>
      <c r="E28" s="21" t="s">
        <v>189</v>
      </c>
      <c r="F28" s="20"/>
      <c r="G28" s="21" t="s">
        <v>189</v>
      </c>
      <c r="H28" s="20"/>
      <c r="I28" s="21" t="s">
        <v>189</v>
      </c>
      <c r="J28" s="20"/>
      <c r="K28" s="21"/>
      <c r="L28" s="20"/>
      <c r="M28" s="21"/>
      <c r="N28" s="20"/>
    </row>
    <row r="29" spans="1:14" ht="18" customHeight="1">
      <c r="A29" s="56"/>
      <c r="B29" s="20"/>
      <c r="C29" s="56"/>
      <c r="D29" s="20"/>
      <c r="E29" s="56"/>
      <c r="F29" s="20"/>
      <c r="G29" s="56"/>
      <c r="H29" s="20"/>
      <c r="I29" s="56"/>
      <c r="J29" s="20"/>
      <c r="K29" s="56"/>
      <c r="L29" s="20"/>
      <c r="M29" s="56"/>
      <c r="N29" s="20"/>
    </row>
    <row r="30" spans="1:14" ht="18" customHeight="1">
      <c r="A30" s="23"/>
      <c r="B30" s="20"/>
      <c r="C30" s="22"/>
      <c r="D30" s="20"/>
      <c r="E30" s="23"/>
      <c r="F30" s="20"/>
      <c r="G30" s="22"/>
      <c r="H30" s="20"/>
      <c r="I30" s="22"/>
      <c r="J30" s="20"/>
      <c r="K30" s="22"/>
      <c r="L30" s="20"/>
      <c r="M30" s="22"/>
      <c r="N30" s="20"/>
    </row>
    <row r="31" spans="1:14" ht="18" customHeight="1">
      <c r="A31" s="25"/>
      <c r="B31" s="20"/>
      <c r="C31" s="25"/>
      <c r="D31" s="20"/>
      <c r="E31" s="25"/>
      <c r="F31" s="20"/>
      <c r="G31" s="25"/>
      <c r="H31" s="20"/>
      <c r="I31" s="25"/>
      <c r="J31" s="20"/>
      <c r="K31" s="25"/>
      <c r="L31" s="20"/>
      <c r="M31" s="25"/>
      <c r="N31" s="20"/>
    </row>
    <row r="32" spans="1:14" ht="18" customHeight="1">
      <c r="A32" s="58"/>
      <c r="B32" s="24"/>
      <c r="C32" s="58"/>
      <c r="D32" s="24"/>
      <c r="E32" s="58"/>
      <c r="F32" s="24"/>
      <c r="G32" s="58"/>
      <c r="H32" s="24"/>
      <c r="I32" s="58"/>
      <c r="J32" s="24"/>
      <c r="K32" s="58"/>
      <c r="L32" s="24"/>
      <c r="M32" s="58"/>
      <c r="N32" s="24"/>
    </row>
    <row r="33" spans="1:14" ht="18" customHeight="1">
      <c r="A33" s="2">
        <f>M24+1</f>
        <v>46559</v>
      </c>
      <c r="B33" s="3"/>
      <c r="C33" s="2">
        <f>A33+1</f>
        <v>46560</v>
      </c>
      <c r="D33" s="3"/>
      <c r="E33" s="2">
        <f>C33+1</f>
        <v>46561</v>
      </c>
      <c r="F33" s="3"/>
      <c r="G33" s="2">
        <f>E33+1</f>
        <v>46562</v>
      </c>
      <c r="H33" s="3"/>
      <c r="I33" s="2">
        <f>G33+1</f>
        <v>46563</v>
      </c>
      <c r="J33" s="3"/>
      <c r="K33" s="4">
        <f>I33+1</f>
        <v>46564</v>
      </c>
      <c r="L33" s="5"/>
      <c r="M33" s="4">
        <f>K33+1</f>
        <v>46565</v>
      </c>
      <c r="N33" s="5"/>
    </row>
    <row r="34" spans="1:14" ht="18" customHeight="1">
      <c r="A34" s="29"/>
      <c r="B34" s="20"/>
      <c r="C34" s="29"/>
      <c r="D34" s="20"/>
      <c r="E34" s="29"/>
      <c r="F34" s="20"/>
      <c r="G34" s="29"/>
      <c r="H34" s="20"/>
      <c r="I34" s="29"/>
      <c r="J34" s="20"/>
      <c r="K34" s="29"/>
      <c r="L34" s="20"/>
      <c r="M34" s="29"/>
      <c r="N34" s="20"/>
    </row>
    <row r="35" spans="1:14" ht="18" customHeight="1">
      <c r="A35" s="27"/>
      <c r="B35" s="20"/>
      <c r="C35" s="27"/>
      <c r="D35" s="20"/>
      <c r="E35" s="27"/>
      <c r="F35" s="20"/>
      <c r="G35" s="27"/>
      <c r="H35" s="20"/>
      <c r="I35" s="27"/>
      <c r="J35" s="20"/>
      <c r="K35" s="26"/>
      <c r="L35" s="20"/>
      <c r="M35" s="26"/>
      <c r="N35" s="20"/>
    </row>
    <row r="36" spans="1:14" ht="18" customHeight="1">
      <c r="A36" s="19" t="s">
        <v>187</v>
      </c>
      <c r="B36" s="20"/>
      <c r="C36" s="19" t="s">
        <v>187</v>
      </c>
      <c r="D36" s="20"/>
      <c r="E36" s="19" t="s">
        <v>187</v>
      </c>
      <c r="F36" s="20"/>
      <c r="G36" s="19" t="s">
        <v>187</v>
      </c>
      <c r="H36" s="20"/>
      <c r="I36" s="19" t="s">
        <v>187</v>
      </c>
      <c r="J36" s="20"/>
      <c r="K36" s="19" t="s">
        <v>187</v>
      </c>
      <c r="L36" s="20"/>
      <c r="M36" s="19" t="s">
        <v>187</v>
      </c>
      <c r="N36" s="20"/>
    </row>
    <row r="37" spans="1:14" ht="18" customHeight="1">
      <c r="A37" s="21" t="s">
        <v>206</v>
      </c>
      <c r="B37" s="55"/>
      <c r="C37" s="21" t="s">
        <v>206</v>
      </c>
      <c r="D37" s="55"/>
      <c r="E37" s="21" t="s">
        <v>206</v>
      </c>
      <c r="F37" s="55"/>
      <c r="G37" s="21" t="s">
        <v>206</v>
      </c>
      <c r="H37" s="55"/>
      <c r="I37" s="21" t="s">
        <v>206</v>
      </c>
      <c r="J37" s="55"/>
      <c r="K37" s="30"/>
      <c r="L37" s="55"/>
      <c r="M37" s="30"/>
      <c r="N37" s="55"/>
    </row>
    <row r="38" spans="1:14" ht="18" customHeight="1">
      <c r="A38" s="56"/>
      <c r="B38" s="20"/>
      <c r="C38" s="56"/>
      <c r="D38" s="20"/>
      <c r="E38" s="56"/>
      <c r="F38" s="20"/>
      <c r="G38" s="56"/>
      <c r="H38" s="20"/>
      <c r="I38" s="56"/>
      <c r="J38" s="20"/>
      <c r="K38" s="56"/>
      <c r="L38" s="20"/>
      <c r="M38" s="56"/>
      <c r="N38" s="20"/>
    </row>
    <row r="39" spans="1:14" ht="18" customHeight="1">
      <c r="A39" s="23"/>
      <c r="B39" s="20"/>
      <c r="C39" s="22"/>
      <c r="D39" s="20"/>
      <c r="E39" s="23"/>
      <c r="F39" s="20"/>
      <c r="G39" s="22"/>
      <c r="H39" s="20"/>
      <c r="I39" s="22"/>
      <c r="J39" s="20"/>
      <c r="K39" s="22"/>
      <c r="L39" s="20"/>
      <c r="M39" s="22"/>
      <c r="N39" s="20"/>
    </row>
    <row r="40" spans="1:14" ht="18" customHeight="1">
      <c r="A40" s="25"/>
      <c r="B40" s="20"/>
      <c r="C40" s="25"/>
      <c r="D40" s="20"/>
      <c r="E40" s="25"/>
      <c r="F40" s="20"/>
      <c r="G40" s="25"/>
      <c r="H40" s="20"/>
      <c r="I40" s="25"/>
      <c r="J40" s="20"/>
      <c r="K40" s="25"/>
      <c r="L40" s="20"/>
      <c r="M40" s="25"/>
      <c r="N40" s="20"/>
    </row>
    <row r="41" spans="1:14" ht="18" customHeight="1">
      <c r="A41" s="58"/>
      <c r="B41" s="24"/>
      <c r="C41" s="58"/>
      <c r="D41" s="24"/>
      <c r="E41" s="58"/>
      <c r="F41" s="24"/>
      <c r="G41" s="58"/>
      <c r="H41" s="24"/>
      <c r="I41" s="58"/>
      <c r="J41" s="24"/>
      <c r="K41" s="58"/>
      <c r="L41" s="24"/>
      <c r="M41" s="58"/>
      <c r="N41" s="24"/>
    </row>
    <row r="42" spans="1:14" ht="18" customHeight="1">
      <c r="A42" s="2">
        <f>IF(M33="","",IF(MONTH(M33+1)&lt;&gt;MONTH($A$1),"",M33+1))</f>
        <v>46566</v>
      </c>
      <c r="B42" s="3"/>
      <c r="C42" s="2">
        <f>IF(A42="","",IF(MONTH(A42+1)&lt;&gt;MONTH($A$1),"",A42+1))</f>
        <v>46567</v>
      </c>
      <c r="D42" s="3"/>
      <c r="E42" s="2">
        <v>29</v>
      </c>
      <c r="F42" s="3"/>
      <c r="G42" s="2">
        <v>30</v>
      </c>
      <c r="H42" s="3"/>
      <c r="I42" s="2">
        <v>1</v>
      </c>
      <c r="J42" s="3"/>
      <c r="K42" s="4">
        <v>2</v>
      </c>
      <c r="L42" s="5"/>
      <c r="M42" s="4">
        <v>3</v>
      </c>
      <c r="N42" s="5"/>
    </row>
    <row r="43" spans="1:14" ht="18" customHeight="1">
      <c r="A43" s="29"/>
      <c r="B43" s="20"/>
      <c r="C43" s="29"/>
      <c r="D43" s="20"/>
      <c r="E43" s="29"/>
      <c r="F43" s="20"/>
      <c r="G43" s="29"/>
      <c r="H43" s="20"/>
      <c r="I43" s="29"/>
      <c r="J43" s="20"/>
      <c r="K43" s="29"/>
      <c r="L43" s="20"/>
      <c r="M43" s="29"/>
      <c r="N43" s="20"/>
    </row>
    <row r="44" spans="1:14" ht="18" customHeight="1">
      <c r="A44" s="27"/>
      <c r="B44" s="20"/>
      <c r="C44" s="27"/>
      <c r="D44" s="20"/>
      <c r="E44" s="27"/>
      <c r="F44" s="20"/>
      <c r="G44" s="27"/>
      <c r="H44" s="20"/>
      <c r="I44" s="27"/>
      <c r="J44" s="20"/>
      <c r="K44" s="26"/>
      <c r="L44" s="20"/>
      <c r="M44" s="26"/>
      <c r="N44" s="20"/>
    </row>
    <row r="45" spans="1:14" ht="18" customHeight="1">
      <c r="A45" s="19"/>
      <c r="B45" s="20"/>
      <c r="C45" s="19"/>
      <c r="D45" s="20"/>
      <c r="E45" s="19"/>
      <c r="F45" s="20"/>
      <c r="G45" s="19"/>
      <c r="H45" s="20"/>
      <c r="I45" s="19"/>
      <c r="J45" s="20"/>
      <c r="K45" s="19"/>
      <c r="L45" s="20"/>
      <c r="M45" s="19"/>
      <c r="N45" s="20"/>
    </row>
    <row r="46" spans="1:14" ht="18" customHeight="1">
      <c r="A46" s="21"/>
      <c r="B46" s="20"/>
      <c r="C46" s="21"/>
      <c r="D46" s="20"/>
      <c r="E46" s="21"/>
      <c r="F46" s="20"/>
      <c r="G46" s="21"/>
      <c r="H46" s="20"/>
      <c r="I46" s="21"/>
      <c r="J46" s="20"/>
      <c r="K46" s="30"/>
      <c r="L46" s="20"/>
      <c r="M46" s="30"/>
      <c r="N46" s="20"/>
    </row>
    <row r="47" spans="1:14" ht="18" customHeight="1">
      <c r="A47" s="56"/>
      <c r="B47" s="20"/>
      <c r="C47" s="56"/>
      <c r="D47" s="20"/>
      <c r="E47" s="56"/>
      <c r="F47" s="20"/>
      <c r="G47" s="56"/>
      <c r="H47" s="20"/>
      <c r="I47" s="56"/>
      <c r="J47" s="20"/>
      <c r="K47" s="57"/>
      <c r="L47" s="20"/>
      <c r="M47" s="57"/>
      <c r="N47" s="20"/>
    </row>
    <row r="48" spans="1:14" ht="18" customHeight="1">
      <c r="A48" s="23"/>
      <c r="B48" s="20"/>
      <c r="C48" s="22"/>
      <c r="D48" s="20"/>
      <c r="E48" s="23"/>
      <c r="F48" s="20"/>
      <c r="G48" s="22"/>
      <c r="H48" s="20"/>
      <c r="I48" s="22"/>
      <c r="J48" s="20"/>
      <c r="K48" s="22"/>
      <c r="L48" s="20"/>
      <c r="M48" s="22"/>
      <c r="N48" s="20"/>
    </row>
    <row r="49" spans="1:14" ht="18" customHeight="1">
      <c r="A49" s="25"/>
      <c r="B49" s="20"/>
      <c r="C49" s="25"/>
      <c r="D49" s="20"/>
      <c r="E49" s="25"/>
      <c r="F49" s="20"/>
      <c r="G49" s="25"/>
      <c r="H49" s="20"/>
      <c r="I49" s="25"/>
      <c r="J49" s="20"/>
      <c r="K49" s="31"/>
      <c r="L49" s="24"/>
      <c r="M49" s="31"/>
      <c r="N49" s="24"/>
    </row>
    <row r="50" spans="1:14" ht="18" customHeight="1">
      <c r="A50" s="58" t="s">
        <v>182</v>
      </c>
      <c r="B50" s="24"/>
      <c r="C50" s="58" t="s">
        <v>179</v>
      </c>
      <c r="D50" s="24"/>
      <c r="E50" s="58"/>
      <c r="F50" s="24"/>
      <c r="G50" s="58"/>
      <c r="H50" s="24"/>
      <c r="I50" s="58"/>
      <c r="J50" s="24"/>
      <c r="K50" s="58"/>
      <c r="L50" s="24"/>
      <c r="M50" s="58"/>
      <c r="N50" s="24"/>
    </row>
    <row r="51" spans="1:14" ht="18" customHeight="1">
      <c r="A51" s="2"/>
      <c r="B51" s="3"/>
      <c r="C51" s="2"/>
      <c r="D51" s="3"/>
      <c r="E51" s="46" t="s">
        <v>22</v>
      </c>
      <c r="F51" s="47"/>
      <c r="G51" s="48"/>
      <c r="H51" s="47"/>
      <c r="I51" s="47"/>
      <c r="J51" s="47"/>
      <c r="K51" s="47"/>
      <c r="L51" s="47"/>
      <c r="M51" s="47"/>
      <c r="N51" s="49"/>
    </row>
    <row r="52" spans="1:14" ht="18" customHeight="1">
      <c r="A52" s="29"/>
      <c r="B52" s="20"/>
      <c r="C52" s="44"/>
      <c r="D52" s="20"/>
      <c r="E52" s="45"/>
      <c r="F52" s="37"/>
      <c r="G52" s="37"/>
      <c r="H52" s="37"/>
      <c r="I52" s="37"/>
      <c r="J52" s="37"/>
      <c r="K52" s="37"/>
      <c r="L52" s="37"/>
      <c r="M52" s="37"/>
      <c r="N52" s="20"/>
    </row>
    <row r="53" spans="1:14" ht="18" customHeight="1">
      <c r="A53" s="27"/>
      <c r="B53" s="20"/>
      <c r="C53" s="26"/>
      <c r="D53" s="20"/>
      <c r="E53" s="45"/>
      <c r="F53" s="37"/>
      <c r="G53" s="37"/>
      <c r="H53" s="37"/>
      <c r="I53" s="37"/>
      <c r="J53" s="37"/>
      <c r="K53" s="37"/>
      <c r="L53" s="37"/>
      <c r="M53" s="37"/>
      <c r="N53" s="20"/>
    </row>
    <row r="54" spans="1:14" ht="18" customHeight="1">
      <c r="A54" s="19"/>
      <c r="B54" s="20"/>
      <c r="C54" s="35"/>
      <c r="D54" s="20"/>
      <c r="E54" s="45"/>
      <c r="F54" s="37"/>
      <c r="G54" s="37"/>
      <c r="H54" s="37"/>
      <c r="I54" s="37"/>
      <c r="J54" s="37"/>
      <c r="K54" s="37"/>
      <c r="L54" s="37"/>
      <c r="M54" s="37"/>
      <c r="N54" s="20"/>
    </row>
    <row r="55" spans="1:14" ht="18" customHeight="1">
      <c r="A55" s="21"/>
      <c r="B55" s="20"/>
      <c r="C55" s="30"/>
      <c r="D55" s="20"/>
      <c r="E55" s="6"/>
      <c r="F55" s="7"/>
      <c r="G55" s="7"/>
      <c r="H55" s="7"/>
      <c r="I55" s="7"/>
      <c r="J55" s="7"/>
      <c r="K55" s="7"/>
      <c r="L55" s="7"/>
      <c r="M55" s="7"/>
      <c r="N55" s="8"/>
    </row>
    <row r="56" spans="1:14" ht="18" customHeight="1">
      <c r="A56" s="56"/>
      <c r="B56" s="20"/>
      <c r="C56" s="57"/>
      <c r="D56" s="20"/>
      <c r="E56" s="6"/>
      <c r="F56" s="7"/>
      <c r="G56" s="7"/>
      <c r="H56" s="7"/>
      <c r="I56" s="7"/>
      <c r="J56" s="7"/>
      <c r="K56" s="7"/>
      <c r="L56" s="7"/>
      <c r="M56" s="7"/>
      <c r="N56" s="8"/>
    </row>
    <row r="57" spans="1:14" ht="18" customHeight="1">
      <c r="A57" s="23"/>
      <c r="B57" s="20"/>
      <c r="C57" s="22"/>
      <c r="D57" s="20"/>
      <c r="E57" s="6"/>
      <c r="F57" s="7"/>
      <c r="G57" s="7"/>
      <c r="H57" s="7"/>
      <c r="I57" s="7"/>
      <c r="J57" s="7"/>
      <c r="K57" s="7"/>
      <c r="L57" s="7"/>
      <c r="M57" s="7"/>
      <c r="N57" s="8"/>
    </row>
    <row r="58" spans="1:14" ht="18" customHeight="1">
      <c r="A58" s="25"/>
      <c r="B58" s="20"/>
      <c r="C58" s="31"/>
      <c r="D58" s="24"/>
      <c r="E58" s="32" t="s">
        <v>23</v>
      </c>
      <c r="F58" s="33"/>
      <c r="G58" s="33"/>
      <c r="H58" s="33"/>
      <c r="I58" s="34" t="str">
        <f>HYPERLINK("https://www.vertex42.com/calendars/academic-calendar.html","https://www.vertex42.com/calendars/academic-calendar.html")</f>
        <v>https://www.vertex42.com/calendars/academic-calendar.html</v>
      </c>
      <c r="J58" s="33"/>
      <c r="K58" s="33"/>
      <c r="L58" s="33"/>
      <c r="M58" s="33"/>
      <c r="N58" s="24"/>
    </row>
  </sheetData>
  <mergeCells count="319">
    <mergeCell ref="M14:N14"/>
    <mergeCell ref="M13:N13"/>
    <mergeCell ref="M12:N12"/>
    <mergeCell ref="M20:N20"/>
    <mergeCell ref="M19:N19"/>
    <mergeCell ref="M18:N18"/>
    <mergeCell ref="M17:N17"/>
    <mergeCell ref="A14:B14"/>
    <mergeCell ref="A9:B9"/>
    <mergeCell ref="A12:B12"/>
    <mergeCell ref="C13:D13"/>
    <mergeCell ref="A20:B20"/>
    <mergeCell ref="A19:B19"/>
    <mergeCell ref="C20:D20"/>
    <mergeCell ref="K11:L11"/>
    <mergeCell ref="M11:N11"/>
    <mergeCell ref="G9:H9"/>
    <mergeCell ref="G13:H13"/>
    <mergeCell ref="G12:H12"/>
    <mergeCell ref="E12:F12"/>
    <mergeCell ref="E13:F13"/>
    <mergeCell ref="E14:F14"/>
    <mergeCell ref="G14:H14"/>
    <mergeCell ref="K13:L13"/>
    <mergeCell ref="C19:D19"/>
    <mergeCell ref="C3:D3"/>
    <mergeCell ref="A5:B5"/>
    <mergeCell ref="A13:B13"/>
    <mergeCell ref="A30:B30"/>
    <mergeCell ref="C30:D30"/>
    <mergeCell ref="A21:B21"/>
    <mergeCell ref="A22:B22"/>
    <mergeCell ref="A28:B28"/>
    <mergeCell ref="A29:B29"/>
    <mergeCell ref="C29:D29"/>
    <mergeCell ref="A8:B8"/>
    <mergeCell ref="A7:B7"/>
    <mergeCell ref="A10:B10"/>
    <mergeCell ref="A11:B11"/>
    <mergeCell ref="C16:D16"/>
    <mergeCell ref="C17:D17"/>
    <mergeCell ref="A18:B18"/>
    <mergeCell ref="C18:D18"/>
    <mergeCell ref="C11:D11"/>
    <mergeCell ref="C12:D12"/>
    <mergeCell ref="A17:B17"/>
    <mergeCell ref="A16:B16"/>
    <mergeCell ref="C14:D14"/>
    <mergeCell ref="E29:F29"/>
    <mergeCell ref="E28:F28"/>
    <mergeCell ref="C28:D28"/>
    <mergeCell ref="E26:F26"/>
    <mergeCell ref="E22:F22"/>
    <mergeCell ref="E23:F23"/>
    <mergeCell ref="E27:F27"/>
    <mergeCell ref="A27:B27"/>
    <mergeCell ref="A26:B26"/>
    <mergeCell ref="A25:B25"/>
    <mergeCell ref="C26:D26"/>
    <mergeCell ref="C25:D25"/>
    <mergeCell ref="G11:H11"/>
    <mergeCell ref="G3:H3"/>
    <mergeCell ref="E11:F11"/>
    <mergeCell ref="M9:N9"/>
    <mergeCell ref="K9:L9"/>
    <mergeCell ref="G7:H7"/>
    <mergeCell ref="G5:H5"/>
    <mergeCell ref="M7:N7"/>
    <mergeCell ref="K7:L7"/>
    <mergeCell ref="K8:L8"/>
    <mergeCell ref="M8:N8"/>
    <mergeCell ref="M5:N5"/>
    <mergeCell ref="E3:F3"/>
    <mergeCell ref="E5:F5"/>
    <mergeCell ref="I3:J3"/>
    <mergeCell ref="I9:J9"/>
    <mergeCell ref="I5:J5"/>
    <mergeCell ref="I8:J8"/>
    <mergeCell ref="I7:J7"/>
    <mergeCell ref="I10:J10"/>
    <mergeCell ref="I11:J11"/>
    <mergeCell ref="A2:N2"/>
    <mergeCell ref="A4:N4"/>
    <mergeCell ref="K5:L5"/>
    <mergeCell ref="K1:N1"/>
    <mergeCell ref="M3:N3"/>
    <mergeCell ref="K3:L3"/>
    <mergeCell ref="E10:F10"/>
    <mergeCell ref="G10:H10"/>
    <mergeCell ref="M10:N10"/>
    <mergeCell ref="K10:L10"/>
    <mergeCell ref="A3:B3"/>
    <mergeCell ref="A1:B1"/>
    <mergeCell ref="G8:H8"/>
    <mergeCell ref="E7:F7"/>
    <mergeCell ref="E9:F9"/>
    <mergeCell ref="E8:F8"/>
    <mergeCell ref="C5:D5"/>
    <mergeCell ref="C10:D10"/>
    <mergeCell ref="C7:D7"/>
    <mergeCell ref="C9:D9"/>
    <mergeCell ref="C8:D8"/>
    <mergeCell ref="G16:H16"/>
    <mergeCell ref="E16:F16"/>
    <mergeCell ref="I16:J16"/>
    <mergeCell ref="K16:L16"/>
    <mergeCell ref="M16:N16"/>
    <mergeCell ref="E18:F18"/>
    <mergeCell ref="G18:H18"/>
    <mergeCell ref="I18:J18"/>
    <mergeCell ref="K17:L17"/>
    <mergeCell ref="I17:J17"/>
    <mergeCell ref="K26:L26"/>
    <mergeCell ref="K20:L20"/>
    <mergeCell ref="K19:L19"/>
    <mergeCell ref="K18:L18"/>
    <mergeCell ref="K25:L25"/>
    <mergeCell ref="K12:L12"/>
    <mergeCell ref="K14:L14"/>
    <mergeCell ref="I12:J12"/>
    <mergeCell ref="I23:J23"/>
    <mergeCell ref="I22:J22"/>
    <mergeCell ref="I14:J14"/>
    <mergeCell ref="I13:J13"/>
    <mergeCell ref="I21:J21"/>
    <mergeCell ref="I20:J20"/>
    <mergeCell ref="I19:J19"/>
    <mergeCell ref="K21:L21"/>
    <mergeCell ref="K23:L23"/>
    <mergeCell ref="G19:H19"/>
    <mergeCell ref="E19:F19"/>
    <mergeCell ref="E21:F21"/>
    <mergeCell ref="E20:F20"/>
    <mergeCell ref="E17:F17"/>
    <mergeCell ref="G20:H20"/>
    <mergeCell ref="G17:H17"/>
    <mergeCell ref="E51:F51"/>
    <mergeCell ref="M29:N29"/>
    <mergeCell ref="K29:L29"/>
    <mergeCell ref="K28:L28"/>
    <mergeCell ref="M28:N28"/>
    <mergeCell ref="G49:H49"/>
    <mergeCell ref="G45:H45"/>
    <mergeCell ref="G44:H44"/>
    <mergeCell ref="G43:H43"/>
    <mergeCell ref="M45:N45"/>
    <mergeCell ref="M46:N46"/>
    <mergeCell ref="M43:N43"/>
    <mergeCell ref="K43:L43"/>
    <mergeCell ref="M44:N44"/>
    <mergeCell ref="K45:L45"/>
    <mergeCell ref="I44:J44"/>
    <mergeCell ref="K27:L27"/>
    <mergeCell ref="G50:H50"/>
    <mergeCell ref="M27:N27"/>
    <mergeCell ref="M26:N26"/>
    <mergeCell ref="M25:N25"/>
    <mergeCell ref="C21:D21"/>
    <mergeCell ref="C23:D23"/>
    <mergeCell ref="G25:H25"/>
    <mergeCell ref="A23:B23"/>
    <mergeCell ref="G27:H27"/>
    <mergeCell ref="E25:F25"/>
    <mergeCell ref="C22:D22"/>
    <mergeCell ref="C27:D27"/>
    <mergeCell ref="K22:L22"/>
    <mergeCell ref="G23:H23"/>
    <mergeCell ref="G26:H26"/>
    <mergeCell ref="I26:J26"/>
    <mergeCell ref="I25:J25"/>
    <mergeCell ref="I27:J27"/>
    <mergeCell ref="M22:N22"/>
    <mergeCell ref="M23:N23"/>
    <mergeCell ref="G21:H21"/>
    <mergeCell ref="G22:H22"/>
    <mergeCell ref="I43:J43"/>
    <mergeCell ref="M21:N21"/>
    <mergeCell ref="E53:N53"/>
    <mergeCell ref="E54:N54"/>
    <mergeCell ref="I58:N58"/>
    <mergeCell ref="E58:H58"/>
    <mergeCell ref="E52:N52"/>
    <mergeCell ref="G51:N51"/>
    <mergeCell ref="K46:L46"/>
    <mergeCell ref="I46:J46"/>
    <mergeCell ref="G46:H46"/>
    <mergeCell ref="I49:J49"/>
    <mergeCell ref="K49:L49"/>
    <mergeCell ref="M49:N49"/>
    <mergeCell ref="M50:N50"/>
    <mergeCell ref="I47:J47"/>
    <mergeCell ref="I48:J48"/>
    <mergeCell ref="I50:J50"/>
    <mergeCell ref="K50:L50"/>
    <mergeCell ref="K48:L48"/>
    <mergeCell ref="K47:L47"/>
    <mergeCell ref="M47:N47"/>
    <mergeCell ref="M48:N48"/>
    <mergeCell ref="G47:H47"/>
    <mergeCell ref="G48:H48"/>
    <mergeCell ref="E49:F49"/>
    <mergeCell ref="A58:B58"/>
    <mergeCell ref="C58:D58"/>
    <mergeCell ref="C54:D54"/>
    <mergeCell ref="C55:D55"/>
    <mergeCell ref="C56:D56"/>
    <mergeCell ref="C57:D57"/>
    <mergeCell ref="C52:D52"/>
    <mergeCell ref="C53:D53"/>
    <mergeCell ref="A53:B53"/>
    <mergeCell ref="A56:B56"/>
    <mergeCell ref="A57:B57"/>
    <mergeCell ref="A54:B54"/>
    <mergeCell ref="A55:B55"/>
    <mergeCell ref="A52:B52"/>
    <mergeCell ref="C49:D49"/>
    <mergeCell ref="A49:B49"/>
    <mergeCell ref="A50:B50"/>
    <mergeCell ref="C48:D48"/>
    <mergeCell ref="A48:B48"/>
    <mergeCell ref="C50:D50"/>
    <mergeCell ref="C47:D47"/>
    <mergeCell ref="A47:B47"/>
    <mergeCell ref="E47:F47"/>
    <mergeCell ref="E48:F48"/>
    <mergeCell ref="E50:F50"/>
    <mergeCell ref="C32:D32"/>
    <mergeCell ref="C31:D31"/>
    <mergeCell ref="A32:B32"/>
    <mergeCell ref="A31:B31"/>
    <mergeCell ref="M30:N30"/>
    <mergeCell ref="M31:N31"/>
    <mergeCell ref="M40:N40"/>
    <mergeCell ref="M39:N39"/>
    <mergeCell ref="M41:N41"/>
    <mergeCell ref="K30:L30"/>
    <mergeCell ref="K31:L31"/>
    <mergeCell ref="M32:N32"/>
    <mergeCell ref="K32:L32"/>
    <mergeCell ref="C35:D35"/>
    <mergeCell ref="C34:D34"/>
    <mergeCell ref="G35:H35"/>
    <mergeCell ref="E32:F32"/>
    <mergeCell ref="I36:J36"/>
    <mergeCell ref="A38:B38"/>
    <mergeCell ref="E38:F38"/>
    <mergeCell ref="C38:D38"/>
    <mergeCell ref="M38:N38"/>
    <mergeCell ref="G37:H37"/>
    <mergeCell ref="I37:J37"/>
    <mergeCell ref="E37:F37"/>
    <mergeCell ref="A36:B36"/>
    <mergeCell ref="K44:L44"/>
    <mergeCell ref="I45:J45"/>
    <mergeCell ref="K41:L41"/>
    <mergeCell ref="K40:L40"/>
    <mergeCell ref="I39:J39"/>
    <mergeCell ref="I40:J40"/>
    <mergeCell ref="I41:J41"/>
    <mergeCell ref="K39:L39"/>
    <mergeCell ref="I34:J34"/>
    <mergeCell ref="I31:J31"/>
    <mergeCell ref="I32:J32"/>
    <mergeCell ref="I29:J29"/>
    <mergeCell ref="I30:J30"/>
    <mergeCell ref="I28:J28"/>
    <mergeCell ref="G34:H34"/>
    <mergeCell ref="K38:L38"/>
    <mergeCell ref="I38:J38"/>
    <mergeCell ref="G32:H32"/>
    <mergeCell ref="G36:H36"/>
    <mergeCell ref="E30:F30"/>
    <mergeCell ref="E31:F31"/>
    <mergeCell ref="G28:H28"/>
    <mergeCell ref="G30:H30"/>
    <mergeCell ref="G29:H29"/>
    <mergeCell ref="G31:H31"/>
    <mergeCell ref="C45:D45"/>
    <mergeCell ref="C44:D44"/>
    <mergeCell ref="A44:B44"/>
    <mergeCell ref="E44:F44"/>
    <mergeCell ref="A43:B43"/>
    <mergeCell ref="C43:D43"/>
    <mergeCell ref="E43:F43"/>
    <mergeCell ref="A41:B41"/>
    <mergeCell ref="G40:H40"/>
    <mergeCell ref="G39:H39"/>
    <mergeCell ref="G38:H38"/>
    <mergeCell ref="G41:H41"/>
    <mergeCell ref="A34:B34"/>
    <mergeCell ref="A35:B35"/>
    <mergeCell ref="C36:D36"/>
    <mergeCell ref="E36:F36"/>
    <mergeCell ref="C37:D37"/>
    <mergeCell ref="A37:B37"/>
    <mergeCell ref="A46:B46"/>
    <mergeCell ref="E46:F46"/>
    <mergeCell ref="C46:D46"/>
    <mergeCell ref="A45:B45"/>
    <mergeCell ref="E45:F45"/>
    <mergeCell ref="K35:L35"/>
    <mergeCell ref="I35:J35"/>
    <mergeCell ref="K34:L34"/>
    <mergeCell ref="M34:N34"/>
    <mergeCell ref="E35:F35"/>
    <mergeCell ref="E34:F34"/>
    <mergeCell ref="K36:L36"/>
    <mergeCell ref="M35:N35"/>
    <mergeCell ref="M37:N37"/>
    <mergeCell ref="M36:N36"/>
    <mergeCell ref="K37:L37"/>
    <mergeCell ref="C39:D39"/>
    <mergeCell ref="E39:F39"/>
    <mergeCell ref="C40:D40"/>
    <mergeCell ref="C41:D41"/>
    <mergeCell ref="E41:F41"/>
    <mergeCell ref="E40:F40"/>
    <mergeCell ref="A39:B39"/>
    <mergeCell ref="A40:B40"/>
  </mergeCells>
  <printOptions horizontalCentered="1" gridLines="1"/>
  <pageMargins left="0.5" right="0.5" top="0.25" bottom="0.25" header="0" footer="0"/>
  <pageSetup scale="80" pageOrder="overThenDown" orientation="portrait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workbookViewId="0"/>
  </sheetViews>
  <sheetFormatPr defaultRowHeight="12.6"/>
  <sheetData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  <pageSetUpPr fitToPage="1"/>
  </sheetPr>
  <dimension ref="A1:N53"/>
  <sheetViews>
    <sheetView showGridLines="0" topLeftCell="A2" workbookViewId="0"/>
  </sheetViews>
  <sheetFormatPr defaultColWidth="12.5703125" defaultRowHeight="12.75" customHeight="1"/>
  <cols>
    <col min="1" max="1" width="3.85546875" customWidth="1"/>
    <col min="2" max="2" width="13.42578125" customWidth="1"/>
    <col min="3" max="3" width="3.85546875" customWidth="1"/>
    <col min="4" max="4" width="13.42578125" customWidth="1"/>
    <col min="5" max="5" width="3.85546875" customWidth="1"/>
    <col min="6" max="6" width="13.42578125" customWidth="1"/>
    <col min="7" max="7" width="3.85546875" customWidth="1"/>
    <col min="8" max="8" width="13.42578125" customWidth="1"/>
    <col min="9" max="9" width="3.85546875" customWidth="1"/>
    <col min="10" max="10" width="13.42578125" customWidth="1"/>
    <col min="11" max="11" width="3.85546875" customWidth="1"/>
    <col min="12" max="12" width="13.42578125" customWidth="1"/>
    <col min="13" max="13" width="3.85546875" customWidth="1"/>
    <col min="14" max="14" width="13.42578125" customWidth="1"/>
  </cols>
  <sheetData>
    <row r="1" spans="1:14" ht="12.6" hidden="1">
      <c r="A1" s="36">
        <f>EDATE('©'!A17,6)</f>
        <v>45292</v>
      </c>
      <c r="B1" s="37"/>
      <c r="C1" s="1"/>
      <c r="D1" s="1"/>
      <c r="E1" s="1"/>
      <c r="F1" s="1"/>
      <c r="G1" s="1"/>
      <c r="H1" s="1"/>
      <c r="I1" s="1"/>
      <c r="J1" s="1"/>
      <c r="K1" s="38" t="s">
        <v>0</v>
      </c>
      <c r="L1" s="37"/>
      <c r="M1" s="37"/>
      <c r="N1" s="37"/>
    </row>
    <row r="2" spans="1:14" ht="18" customHeight="1">
      <c r="A2" s="39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1:14" ht="18" customHeight="1">
      <c r="A3" s="29" t="s">
        <v>2</v>
      </c>
      <c r="B3" s="37"/>
      <c r="C3" s="27" t="s">
        <v>3</v>
      </c>
      <c r="D3" s="37"/>
      <c r="E3" s="19" t="s">
        <v>4</v>
      </c>
      <c r="F3" s="37"/>
      <c r="G3" s="21" t="s">
        <v>5</v>
      </c>
      <c r="H3" s="37"/>
      <c r="I3" s="56" t="s">
        <v>6</v>
      </c>
      <c r="J3" s="37"/>
      <c r="K3" s="23" t="s">
        <v>7</v>
      </c>
      <c r="L3" s="37"/>
      <c r="M3" s="25" t="s">
        <v>8</v>
      </c>
      <c r="N3" s="37"/>
    </row>
    <row r="4" spans="1:14" ht="60.75" customHeight="1">
      <c r="A4" s="42" t="str">
        <f>UPPER(TEXT(A1,"mmmm yyyy"))</f>
        <v>JANUARY 2024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</row>
    <row r="5" spans="1:14" ht="15" customHeight="1">
      <c r="A5" s="40">
        <f>A14</f>
        <v>45299</v>
      </c>
      <c r="B5" s="41"/>
      <c r="C5" s="40">
        <f>C14</f>
        <v>45300</v>
      </c>
      <c r="D5" s="41"/>
      <c r="E5" s="40">
        <f>E14</f>
        <v>45301</v>
      </c>
      <c r="F5" s="41"/>
      <c r="G5" s="40">
        <f>G14</f>
        <v>45302</v>
      </c>
      <c r="H5" s="41"/>
      <c r="I5" s="40">
        <f>I14</f>
        <v>45303</v>
      </c>
      <c r="J5" s="41"/>
      <c r="K5" s="40">
        <f>K14</f>
        <v>45304</v>
      </c>
      <c r="L5" s="41"/>
      <c r="M5" s="40">
        <f>M14</f>
        <v>45305</v>
      </c>
      <c r="N5" s="41"/>
    </row>
    <row r="6" spans="1:14" ht="18" customHeight="1">
      <c r="A6" s="2">
        <f>IF(WEEKDAY($A$1,1)=startday,$A$1,"")</f>
        <v>45292</v>
      </c>
      <c r="B6" s="3"/>
      <c r="C6" s="2">
        <f>IF(A6="",IF(WEEKDAY($A$1,1)=MOD(startday,7)+1,$A$1,""),A6+1)</f>
        <v>45293</v>
      </c>
      <c r="D6" s="3"/>
      <c r="E6" s="2">
        <f>IF(C6="",IF(WEEKDAY($A$1,1)=MOD(startday,7)+2,$A$1,""),C6+1)</f>
        <v>45294</v>
      </c>
      <c r="F6" s="3"/>
      <c r="G6" s="2">
        <f>IF(E6="",IF(WEEKDAY($A$1,1)=MOD(startday,7)+3,$A$1,""),E6+1)</f>
        <v>45295</v>
      </c>
      <c r="H6" s="3"/>
      <c r="I6" s="2">
        <f>IF(G6="",IF(WEEKDAY($A$1,1)=MOD(startday,7)+4,$A$1,""),G6+1)</f>
        <v>45296</v>
      </c>
      <c r="J6" s="3"/>
      <c r="K6" s="4">
        <f>IF(I6="",IF(WEEKDAY($A$1,1)=MOD(startday,7)+5,$A$1,""),I6+1)</f>
        <v>45297</v>
      </c>
      <c r="L6" s="5"/>
      <c r="M6" s="4">
        <f>IF(K6="",IF(WEEKDAY($A$1,1)=MOD(startday+5,7)+1,$A$1,""),K6+1)</f>
        <v>45298</v>
      </c>
      <c r="N6" s="5"/>
    </row>
    <row r="7" spans="1:14" ht="14.1">
      <c r="A7" s="29"/>
      <c r="B7" s="20"/>
      <c r="C7" s="44"/>
      <c r="D7" s="20"/>
      <c r="E7" s="29"/>
      <c r="F7" s="20"/>
      <c r="G7" s="44"/>
      <c r="H7" s="20"/>
      <c r="I7" s="44" t="s">
        <v>24</v>
      </c>
      <c r="J7" s="20"/>
      <c r="K7" s="44" t="s">
        <v>24</v>
      </c>
      <c r="L7" s="20"/>
      <c r="M7" s="44" t="s">
        <v>24</v>
      </c>
      <c r="N7" s="20"/>
    </row>
    <row r="8" spans="1:14" ht="14.1">
      <c r="A8" s="27"/>
      <c r="B8" s="20"/>
      <c r="C8" s="26"/>
      <c r="D8" s="20"/>
      <c r="E8" s="27"/>
      <c r="F8" s="20"/>
      <c r="G8" s="26"/>
      <c r="H8" s="20"/>
      <c r="I8" s="26" t="s">
        <v>59</v>
      </c>
      <c r="J8" s="20"/>
      <c r="K8" s="26" t="s">
        <v>59</v>
      </c>
      <c r="L8" s="20"/>
      <c r="M8" s="26" t="s">
        <v>59</v>
      </c>
      <c r="N8" s="20"/>
    </row>
    <row r="9" spans="1:14" ht="14.1">
      <c r="A9" s="19"/>
      <c r="B9" s="20"/>
      <c r="C9" s="35"/>
      <c r="D9" s="20"/>
      <c r="E9" s="19"/>
      <c r="F9" s="20"/>
      <c r="G9" s="35"/>
      <c r="H9" s="20"/>
      <c r="I9" s="35" t="s">
        <v>9</v>
      </c>
      <c r="J9" s="20"/>
      <c r="K9" s="35" t="s">
        <v>11</v>
      </c>
      <c r="L9" s="20"/>
      <c r="M9" s="35" t="s">
        <v>11</v>
      </c>
      <c r="N9" s="20"/>
    </row>
    <row r="10" spans="1:14" ht="14.1">
      <c r="A10" s="21"/>
      <c r="B10" s="20"/>
      <c r="C10" s="30"/>
      <c r="D10" s="20"/>
      <c r="E10" s="21"/>
      <c r="F10" s="20"/>
      <c r="G10" s="30"/>
      <c r="H10" s="20"/>
      <c r="I10" s="30" t="s">
        <v>24</v>
      </c>
      <c r="J10" s="20"/>
      <c r="K10" s="30" t="s">
        <v>24</v>
      </c>
      <c r="L10" s="20"/>
      <c r="M10" s="30" t="s">
        <v>24</v>
      </c>
      <c r="N10" s="20"/>
    </row>
    <row r="11" spans="1:14" ht="14.1">
      <c r="A11" s="56"/>
      <c r="B11" s="20"/>
      <c r="C11" s="57"/>
      <c r="D11" s="20"/>
      <c r="E11" s="56"/>
      <c r="F11" s="20"/>
      <c r="G11" s="57"/>
      <c r="H11" s="20"/>
      <c r="I11" s="57" t="s">
        <v>16</v>
      </c>
      <c r="J11" s="20"/>
      <c r="K11" s="57" t="s">
        <v>16</v>
      </c>
      <c r="L11" s="20"/>
      <c r="M11" s="57" t="s">
        <v>16</v>
      </c>
      <c r="N11" s="20"/>
    </row>
    <row r="12" spans="1:14" ht="14.1">
      <c r="A12" s="23"/>
      <c r="B12" s="20"/>
      <c r="C12" s="22"/>
      <c r="D12" s="20"/>
      <c r="E12" s="23"/>
      <c r="F12" s="20"/>
      <c r="G12" s="22"/>
      <c r="H12" s="20"/>
      <c r="I12" s="22" t="s">
        <v>28</v>
      </c>
      <c r="J12" s="20"/>
      <c r="K12" s="22" t="s">
        <v>36</v>
      </c>
      <c r="L12" s="20"/>
      <c r="M12" s="22" t="s">
        <v>36</v>
      </c>
      <c r="N12" s="20"/>
    </row>
    <row r="13" spans="1:14" ht="18" customHeight="1">
      <c r="A13" s="25"/>
      <c r="B13" s="20"/>
      <c r="C13" s="31"/>
      <c r="D13" s="24"/>
      <c r="E13" s="25"/>
      <c r="F13" s="20"/>
      <c r="G13" s="31"/>
      <c r="H13" s="24"/>
      <c r="I13" s="31" t="s">
        <v>50</v>
      </c>
      <c r="J13" s="24"/>
      <c r="K13" s="31" t="s">
        <v>50</v>
      </c>
      <c r="L13" s="24"/>
      <c r="M13" s="31" t="s">
        <v>50</v>
      </c>
      <c r="N13" s="24"/>
    </row>
    <row r="14" spans="1:14" ht="18" customHeight="1">
      <c r="A14" s="2">
        <f>M6+1</f>
        <v>45299</v>
      </c>
      <c r="B14" s="3"/>
      <c r="C14" s="2">
        <f>A14+1</f>
        <v>45300</v>
      </c>
      <c r="D14" s="3"/>
      <c r="E14" s="2">
        <f>C14+1</f>
        <v>45301</v>
      </c>
      <c r="F14" s="3"/>
      <c r="G14" s="2">
        <f>E14+1</f>
        <v>45302</v>
      </c>
      <c r="H14" s="3"/>
      <c r="I14" s="2">
        <f>G14+1</f>
        <v>45303</v>
      </c>
      <c r="J14" s="3"/>
      <c r="K14" s="4">
        <f>I14+1</f>
        <v>45304</v>
      </c>
      <c r="L14" s="5"/>
      <c r="M14" s="4">
        <f>K14+1</f>
        <v>45305</v>
      </c>
      <c r="N14" s="5"/>
    </row>
    <row r="15" spans="1:14" ht="14.1">
      <c r="A15" s="29" t="s">
        <v>24</v>
      </c>
      <c r="B15" s="20"/>
      <c r="C15" s="29" t="s">
        <v>24</v>
      </c>
      <c r="D15" s="20"/>
      <c r="E15" s="29" t="s">
        <v>24</v>
      </c>
      <c r="F15" s="20"/>
      <c r="G15" s="29" t="s">
        <v>24</v>
      </c>
      <c r="H15" s="20"/>
      <c r="I15" s="44" t="s">
        <v>49</v>
      </c>
      <c r="J15" s="20"/>
      <c r="K15" s="44" t="s">
        <v>50</v>
      </c>
      <c r="L15" s="20"/>
      <c r="M15" s="44" t="s">
        <v>50</v>
      </c>
      <c r="N15" s="20"/>
    </row>
    <row r="16" spans="1:14" ht="14.1">
      <c r="A16" s="27" t="s">
        <v>59</v>
      </c>
      <c r="B16" s="20"/>
      <c r="C16" s="27" t="s">
        <v>59</v>
      </c>
      <c r="D16" s="20"/>
      <c r="E16" s="27" t="s">
        <v>59</v>
      </c>
      <c r="F16" s="20"/>
      <c r="G16" s="27" t="s">
        <v>59</v>
      </c>
      <c r="H16" s="20"/>
      <c r="I16" s="26" t="s">
        <v>12</v>
      </c>
      <c r="J16" s="20"/>
      <c r="K16" s="26" t="s">
        <v>12</v>
      </c>
      <c r="L16" s="20"/>
      <c r="M16" s="26" t="s">
        <v>12</v>
      </c>
      <c r="N16" s="20"/>
    </row>
    <row r="17" spans="1:14" ht="14.1">
      <c r="A17" s="19" t="s">
        <v>9</v>
      </c>
      <c r="B17" s="20"/>
      <c r="C17" s="19" t="s">
        <v>9</v>
      </c>
      <c r="D17" s="20"/>
      <c r="E17" s="19" t="s">
        <v>9</v>
      </c>
      <c r="F17" s="20"/>
      <c r="G17" s="19" t="s">
        <v>9</v>
      </c>
      <c r="H17" s="20"/>
      <c r="I17" s="35" t="s">
        <v>31</v>
      </c>
      <c r="J17" s="20"/>
      <c r="K17" s="35" t="s">
        <v>218</v>
      </c>
      <c r="L17" s="20"/>
      <c r="M17" s="35" t="s">
        <v>218</v>
      </c>
      <c r="N17" s="20"/>
    </row>
    <row r="18" spans="1:14" ht="14.1">
      <c r="A18" s="21" t="s">
        <v>24</v>
      </c>
      <c r="B18" s="20"/>
      <c r="C18" s="21" t="s">
        <v>24</v>
      </c>
      <c r="D18" s="20"/>
      <c r="E18" s="21" t="s">
        <v>24</v>
      </c>
      <c r="F18" s="20"/>
      <c r="G18" s="21" t="s">
        <v>24</v>
      </c>
      <c r="H18" s="20"/>
      <c r="I18" s="21" t="s">
        <v>24</v>
      </c>
      <c r="J18" s="20"/>
      <c r="K18" s="21" t="s">
        <v>24</v>
      </c>
      <c r="L18" s="20"/>
      <c r="M18" s="21" t="s">
        <v>24</v>
      </c>
      <c r="N18" s="20"/>
    </row>
    <row r="19" spans="1:14" ht="14.1">
      <c r="A19" s="56" t="s">
        <v>16</v>
      </c>
      <c r="B19" s="20"/>
      <c r="C19" s="56" t="s">
        <v>16</v>
      </c>
      <c r="D19" s="20"/>
      <c r="E19" s="56" t="s">
        <v>13</v>
      </c>
      <c r="F19" s="20"/>
      <c r="G19" s="56" t="s">
        <v>13</v>
      </c>
      <c r="H19" s="20"/>
      <c r="I19" s="56" t="s">
        <v>13</v>
      </c>
      <c r="J19" s="20"/>
      <c r="K19" s="56" t="s">
        <v>13</v>
      </c>
      <c r="L19" s="20"/>
      <c r="M19" s="56" t="s">
        <v>13</v>
      </c>
      <c r="N19" s="20"/>
    </row>
    <row r="20" spans="1:14" ht="14.1">
      <c r="A20" s="23" t="s">
        <v>27</v>
      </c>
      <c r="B20" s="20"/>
      <c r="C20" s="23" t="s">
        <v>27</v>
      </c>
      <c r="D20" s="20"/>
      <c r="E20" s="23" t="s">
        <v>28</v>
      </c>
      <c r="F20" s="20"/>
      <c r="G20" s="22" t="s">
        <v>27</v>
      </c>
      <c r="H20" s="20"/>
      <c r="I20" s="22" t="s">
        <v>71</v>
      </c>
      <c r="J20" s="20"/>
      <c r="K20" s="22" t="s">
        <v>26</v>
      </c>
      <c r="L20" s="20"/>
      <c r="M20" s="22" t="s">
        <v>26</v>
      </c>
      <c r="N20" s="20"/>
    </row>
    <row r="21" spans="1:14" ht="18" customHeight="1">
      <c r="A21" s="25" t="s">
        <v>30</v>
      </c>
      <c r="B21" s="20"/>
      <c r="C21" s="25" t="s">
        <v>30</v>
      </c>
      <c r="D21" s="20"/>
      <c r="E21" s="25" t="s">
        <v>30</v>
      </c>
      <c r="F21" s="20"/>
      <c r="G21" s="25" t="s">
        <v>30</v>
      </c>
      <c r="H21" s="20"/>
      <c r="I21" s="25" t="s">
        <v>29</v>
      </c>
      <c r="J21" s="20"/>
      <c r="K21" s="25" t="s">
        <v>41</v>
      </c>
      <c r="L21" s="20"/>
      <c r="M21" s="25" t="s">
        <v>41</v>
      </c>
      <c r="N21" s="20"/>
    </row>
    <row r="22" spans="1:14" ht="18" customHeight="1">
      <c r="A22" s="2">
        <f>M14+1</f>
        <v>45306</v>
      </c>
      <c r="B22" s="3"/>
      <c r="C22" s="2">
        <f>A22+1</f>
        <v>45307</v>
      </c>
      <c r="D22" s="3"/>
      <c r="E22" s="2">
        <f>C22+1</f>
        <v>45308</v>
      </c>
      <c r="F22" s="3"/>
      <c r="G22" s="2">
        <f>E22+1</f>
        <v>45309</v>
      </c>
      <c r="H22" s="3"/>
      <c r="I22" s="2">
        <f>G22+1</f>
        <v>45310</v>
      </c>
      <c r="J22" s="3"/>
      <c r="K22" s="4">
        <f>I22+1</f>
        <v>45311</v>
      </c>
      <c r="L22" s="5"/>
      <c r="M22" s="4">
        <f>K22+1</f>
        <v>45312</v>
      </c>
      <c r="N22" s="5"/>
    </row>
    <row r="23" spans="1:14" ht="14.1">
      <c r="A23" s="29" t="s">
        <v>49</v>
      </c>
      <c r="B23" s="20"/>
      <c r="C23" s="29" t="s">
        <v>50</v>
      </c>
      <c r="D23" s="20"/>
      <c r="E23" s="29" t="s">
        <v>50</v>
      </c>
      <c r="F23" s="20"/>
      <c r="G23" s="29" t="s">
        <v>50</v>
      </c>
      <c r="H23" s="20"/>
      <c r="I23" s="44" t="s">
        <v>53</v>
      </c>
      <c r="J23" s="20"/>
      <c r="K23" s="44" t="s">
        <v>31</v>
      </c>
      <c r="L23" s="20"/>
      <c r="M23" s="44" t="s">
        <v>9</v>
      </c>
      <c r="N23" s="20"/>
    </row>
    <row r="24" spans="1:14" ht="14.1">
      <c r="A24" s="27" t="s">
        <v>12</v>
      </c>
      <c r="B24" s="20"/>
      <c r="C24" s="27" t="s">
        <v>12</v>
      </c>
      <c r="D24" s="20"/>
      <c r="E24" s="27" t="s">
        <v>12</v>
      </c>
      <c r="F24" s="20"/>
      <c r="G24" s="27" t="s">
        <v>12</v>
      </c>
      <c r="H24" s="20"/>
      <c r="I24" s="26" t="s">
        <v>38</v>
      </c>
      <c r="J24" s="20"/>
      <c r="K24" s="26" t="s">
        <v>38</v>
      </c>
      <c r="L24" s="20"/>
      <c r="M24" s="26" t="s">
        <v>38</v>
      </c>
      <c r="N24" s="20"/>
    </row>
    <row r="25" spans="1:14" ht="14.1">
      <c r="A25" s="19" t="s">
        <v>75</v>
      </c>
      <c r="B25" s="20"/>
      <c r="C25" s="19" t="s">
        <v>11</v>
      </c>
      <c r="D25" s="20"/>
      <c r="E25" s="19" t="s">
        <v>10</v>
      </c>
      <c r="F25" s="20"/>
      <c r="G25" s="35" t="s">
        <v>9</v>
      </c>
      <c r="H25" s="20"/>
      <c r="I25" s="35" t="s">
        <v>112</v>
      </c>
      <c r="J25" s="20"/>
      <c r="K25" s="35" t="s">
        <v>14</v>
      </c>
      <c r="L25" s="20"/>
      <c r="M25" s="35" t="s">
        <v>55</v>
      </c>
      <c r="N25" s="20"/>
    </row>
    <row r="26" spans="1:14" ht="14.1">
      <c r="A26" s="21" t="s">
        <v>15</v>
      </c>
      <c r="B26" s="20"/>
      <c r="C26" s="21" t="s">
        <v>15</v>
      </c>
      <c r="D26" s="20"/>
      <c r="E26" s="21" t="s">
        <v>15</v>
      </c>
      <c r="F26" s="20"/>
      <c r="G26" s="21" t="s">
        <v>15</v>
      </c>
      <c r="H26" s="20"/>
      <c r="I26" s="21" t="s">
        <v>15</v>
      </c>
      <c r="J26" s="20"/>
      <c r="K26" s="21" t="s">
        <v>15</v>
      </c>
      <c r="L26" s="20"/>
      <c r="M26" s="21" t="s">
        <v>15</v>
      </c>
      <c r="N26" s="20"/>
    </row>
    <row r="27" spans="1:14" ht="14.1">
      <c r="A27" s="56" t="s">
        <v>13</v>
      </c>
      <c r="B27" s="20"/>
      <c r="C27" s="56" t="s">
        <v>13</v>
      </c>
      <c r="D27" s="20"/>
      <c r="E27" s="56" t="s">
        <v>16</v>
      </c>
      <c r="F27" s="20"/>
      <c r="G27" s="56" t="s">
        <v>16</v>
      </c>
      <c r="H27" s="20"/>
      <c r="I27" s="56" t="s">
        <v>16</v>
      </c>
      <c r="J27" s="20"/>
      <c r="K27" s="56" t="s">
        <v>16</v>
      </c>
      <c r="L27" s="20"/>
      <c r="M27" s="56" t="s">
        <v>16</v>
      </c>
      <c r="N27" s="20"/>
    </row>
    <row r="28" spans="1:14" ht="14.1">
      <c r="A28" s="23" t="s">
        <v>26</v>
      </c>
      <c r="B28" s="20"/>
      <c r="C28" s="22" t="s">
        <v>17</v>
      </c>
      <c r="D28" s="20"/>
      <c r="E28" s="23" t="s">
        <v>219</v>
      </c>
      <c r="F28" s="20"/>
      <c r="G28" s="22" t="s">
        <v>17</v>
      </c>
      <c r="H28" s="20"/>
      <c r="I28" s="22" t="s">
        <v>220</v>
      </c>
      <c r="J28" s="20"/>
      <c r="K28" s="22" t="s">
        <v>19</v>
      </c>
      <c r="L28" s="20"/>
      <c r="M28" s="22" t="s">
        <v>19</v>
      </c>
      <c r="N28" s="20"/>
    </row>
    <row r="29" spans="1:14" ht="18" customHeight="1">
      <c r="A29" s="25" t="s">
        <v>29</v>
      </c>
      <c r="B29" s="20"/>
      <c r="C29" s="25" t="s">
        <v>29</v>
      </c>
      <c r="D29" s="20"/>
      <c r="E29" s="25" t="s">
        <v>30</v>
      </c>
      <c r="F29" s="20"/>
      <c r="G29" s="25" t="s">
        <v>29</v>
      </c>
      <c r="H29" s="20"/>
      <c r="I29" s="25" t="s">
        <v>30</v>
      </c>
      <c r="J29" s="20"/>
      <c r="K29" s="25" t="s">
        <v>30</v>
      </c>
      <c r="L29" s="20"/>
      <c r="M29" s="25" t="s">
        <v>30</v>
      </c>
      <c r="N29" s="20"/>
    </row>
    <row r="30" spans="1:14" ht="18" customHeight="1">
      <c r="A30" s="2">
        <f>M22+1</f>
        <v>45313</v>
      </c>
      <c r="B30" s="3"/>
      <c r="C30" s="2">
        <f>A30+1</f>
        <v>45314</v>
      </c>
      <c r="D30" s="3"/>
      <c r="E30" s="2">
        <f>C30+1</f>
        <v>45315</v>
      </c>
      <c r="F30" s="3"/>
      <c r="G30" s="2">
        <f>E30+1</f>
        <v>45316</v>
      </c>
      <c r="H30" s="3"/>
      <c r="I30" s="2">
        <f>G30+1</f>
        <v>45317</v>
      </c>
      <c r="J30" s="3"/>
      <c r="K30" s="4">
        <f>I30+1</f>
        <v>45318</v>
      </c>
      <c r="L30" s="5"/>
      <c r="M30" s="4">
        <f>K30+1</f>
        <v>45319</v>
      </c>
      <c r="N30" s="5"/>
    </row>
    <row r="31" spans="1:14" ht="14.1">
      <c r="A31" s="29" t="s">
        <v>45</v>
      </c>
      <c r="B31" s="20"/>
      <c r="C31" s="44" t="s">
        <v>9</v>
      </c>
      <c r="D31" s="20"/>
      <c r="E31" s="29" t="s">
        <v>9</v>
      </c>
      <c r="F31" s="20"/>
      <c r="G31" s="44" t="s">
        <v>9</v>
      </c>
      <c r="H31" s="20"/>
      <c r="I31" s="44" t="s">
        <v>10</v>
      </c>
      <c r="J31" s="20"/>
      <c r="K31" s="44" t="s">
        <v>11</v>
      </c>
      <c r="L31" s="20"/>
      <c r="M31" s="44" t="s">
        <v>11</v>
      </c>
      <c r="N31" s="20"/>
    </row>
    <row r="32" spans="1:14" ht="14.1">
      <c r="A32" s="27" t="s">
        <v>38</v>
      </c>
      <c r="B32" s="20"/>
      <c r="C32" s="27" t="s">
        <v>38</v>
      </c>
      <c r="D32" s="20"/>
      <c r="E32" s="27" t="s">
        <v>38</v>
      </c>
      <c r="F32" s="20"/>
      <c r="G32" s="27" t="s">
        <v>38</v>
      </c>
      <c r="H32" s="20"/>
      <c r="I32" s="26" t="s">
        <v>221</v>
      </c>
      <c r="J32" s="20"/>
      <c r="K32" s="26" t="s">
        <v>221</v>
      </c>
      <c r="L32" s="20"/>
      <c r="M32" s="26" t="s">
        <v>221</v>
      </c>
      <c r="N32" s="20"/>
    </row>
    <row r="33" spans="1:14" ht="14.1">
      <c r="A33" s="19" t="s">
        <v>55</v>
      </c>
      <c r="B33" s="20"/>
      <c r="C33" s="35" t="s">
        <v>13</v>
      </c>
      <c r="D33" s="20"/>
      <c r="E33" s="19" t="s">
        <v>55</v>
      </c>
      <c r="F33" s="20"/>
      <c r="G33" s="35" t="s">
        <v>13</v>
      </c>
      <c r="H33" s="20"/>
      <c r="I33" s="35" t="s">
        <v>112</v>
      </c>
      <c r="J33" s="20"/>
      <c r="K33" s="35" t="s">
        <v>62</v>
      </c>
      <c r="L33" s="20"/>
      <c r="M33" s="35" t="s">
        <v>62</v>
      </c>
      <c r="N33" s="20"/>
    </row>
    <row r="34" spans="1:14" ht="14.1">
      <c r="A34" s="21" t="s">
        <v>15</v>
      </c>
      <c r="B34" s="20"/>
      <c r="C34" s="30" t="s">
        <v>15</v>
      </c>
      <c r="D34" s="20"/>
      <c r="E34" s="21" t="s">
        <v>24</v>
      </c>
      <c r="F34" s="20"/>
      <c r="G34" s="30" t="s">
        <v>24</v>
      </c>
      <c r="H34" s="20"/>
      <c r="I34" s="30" t="s">
        <v>15</v>
      </c>
      <c r="J34" s="20"/>
      <c r="K34" s="30" t="s">
        <v>15</v>
      </c>
      <c r="L34" s="20"/>
      <c r="M34" s="30" t="s">
        <v>15</v>
      </c>
      <c r="N34" s="20"/>
    </row>
    <row r="35" spans="1:14" ht="14.1">
      <c r="A35" s="56" t="s">
        <v>25</v>
      </c>
      <c r="B35" s="20"/>
      <c r="C35" s="56" t="s">
        <v>25</v>
      </c>
      <c r="D35" s="20"/>
      <c r="E35" s="56" t="s">
        <v>25</v>
      </c>
      <c r="F35" s="20"/>
      <c r="G35" s="56" t="s">
        <v>25</v>
      </c>
      <c r="H35" s="20"/>
      <c r="I35" s="56" t="s">
        <v>25</v>
      </c>
      <c r="J35" s="20"/>
      <c r="K35" s="56" t="s">
        <v>25</v>
      </c>
      <c r="L35" s="20"/>
      <c r="M35" s="56" t="s">
        <v>25</v>
      </c>
      <c r="N35" s="20"/>
    </row>
    <row r="36" spans="1:14" ht="14.1">
      <c r="A36" s="23" t="s">
        <v>26</v>
      </c>
      <c r="B36" s="20"/>
      <c r="C36" s="22" t="s">
        <v>26</v>
      </c>
      <c r="D36" s="20"/>
      <c r="E36" s="23" t="s">
        <v>28</v>
      </c>
      <c r="F36" s="20"/>
      <c r="G36" s="22" t="s">
        <v>17</v>
      </c>
      <c r="H36" s="20"/>
      <c r="I36" s="22" t="s">
        <v>28</v>
      </c>
      <c r="J36" s="20"/>
      <c r="K36" s="22" t="s">
        <v>17</v>
      </c>
      <c r="L36" s="20"/>
      <c r="M36" s="22" t="s">
        <v>17</v>
      </c>
      <c r="N36" s="20"/>
    </row>
    <row r="37" spans="1:14" ht="18" customHeight="1">
      <c r="A37" s="25" t="s">
        <v>63</v>
      </c>
      <c r="B37" s="20"/>
      <c r="C37" s="25" t="s">
        <v>63</v>
      </c>
      <c r="D37" s="20"/>
      <c r="E37" s="25" t="s">
        <v>50</v>
      </c>
      <c r="F37" s="20"/>
      <c r="G37" s="25" t="s">
        <v>63</v>
      </c>
      <c r="H37" s="20"/>
      <c r="I37" s="25" t="s">
        <v>50</v>
      </c>
      <c r="J37" s="20"/>
      <c r="K37" s="25" t="s">
        <v>74</v>
      </c>
      <c r="L37" s="20"/>
      <c r="M37" s="25" t="s">
        <v>74</v>
      </c>
      <c r="N37" s="20"/>
    </row>
    <row r="38" spans="1:14" ht="18" customHeight="1">
      <c r="A38" s="2">
        <f>IF(M30="","",IF(MONTH(M30+1)&lt;&gt;MONTH($A$1),"",M30+1))</f>
        <v>45320</v>
      </c>
      <c r="B38" s="3"/>
      <c r="C38" s="2">
        <f>IF(A38="","",IF(MONTH(A38+1)&lt;&gt;MONTH($A$1),"",A38+1))</f>
        <v>45321</v>
      </c>
      <c r="D38" s="3"/>
      <c r="E38" s="2">
        <f>IF(C38="","",IF(MONTH(C38+1)&lt;&gt;MONTH($A$1),"",C38+1))</f>
        <v>45322</v>
      </c>
      <c r="F38" s="3"/>
      <c r="G38" s="2" t="str">
        <f>IF(E38="","",IF(MONTH(E38+1)&lt;&gt;MONTH($A$1),"",E38+1))</f>
        <v/>
      </c>
      <c r="H38" s="3"/>
      <c r="I38" s="2" t="str">
        <f>IF(G38="","",IF(MONTH(G38+1)&lt;&gt;MONTH($A$1),"",G38+1))</f>
        <v/>
      </c>
      <c r="J38" s="3"/>
      <c r="K38" s="4" t="str">
        <f>IF(I38="","",IF(MONTH(I38+1)&lt;&gt;MONTH($A$1),"",I38+1))</f>
        <v/>
      </c>
      <c r="L38" s="5"/>
      <c r="M38" s="4" t="str">
        <f>IF(K38="","",IF(MONTH(K38+1)&lt;&gt;MONTH($A$1),"",K38+1))</f>
        <v/>
      </c>
      <c r="N38" s="5"/>
    </row>
    <row r="39" spans="1:14" ht="14.1">
      <c r="A39" s="29" t="s">
        <v>10</v>
      </c>
      <c r="B39" s="20"/>
      <c r="C39" s="44" t="s">
        <v>11</v>
      </c>
      <c r="D39" s="20"/>
      <c r="E39" s="44" t="s">
        <v>75</v>
      </c>
      <c r="F39" s="20"/>
      <c r="G39" s="44" t="s">
        <v>11</v>
      </c>
      <c r="H39" s="20"/>
      <c r="I39" s="44" t="s">
        <v>24</v>
      </c>
      <c r="J39" s="20"/>
      <c r="K39" s="44" t="s">
        <v>24</v>
      </c>
      <c r="L39" s="20"/>
      <c r="M39" s="44" t="s">
        <v>24</v>
      </c>
      <c r="N39" s="20"/>
    </row>
    <row r="40" spans="1:14" ht="14.1">
      <c r="A40" s="27" t="s">
        <v>42</v>
      </c>
      <c r="B40" s="20"/>
      <c r="C40" s="27" t="s">
        <v>42</v>
      </c>
      <c r="D40" s="20"/>
      <c r="E40" s="27" t="s">
        <v>42</v>
      </c>
      <c r="F40" s="20"/>
      <c r="G40" s="27" t="s">
        <v>42</v>
      </c>
      <c r="H40" s="20"/>
      <c r="I40" s="26" t="s">
        <v>54</v>
      </c>
      <c r="J40" s="20"/>
      <c r="K40" s="26" t="s">
        <v>54</v>
      </c>
      <c r="L40" s="20"/>
      <c r="M40" s="26" t="s">
        <v>54</v>
      </c>
      <c r="N40" s="20"/>
    </row>
    <row r="41" spans="1:14" ht="14.1">
      <c r="A41" s="19" t="s">
        <v>53</v>
      </c>
      <c r="B41" s="20"/>
      <c r="C41" s="35" t="s">
        <v>9</v>
      </c>
      <c r="D41" s="20"/>
      <c r="E41" s="19" t="s">
        <v>31</v>
      </c>
      <c r="F41" s="20"/>
      <c r="G41" s="35" t="s">
        <v>9</v>
      </c>
      <c r="H41" s="20"/>
      <c r="I41" s="35" t="s">
        <v>9</v>
      </c>
      <c r="J41" s="20"/>
      <c r="K41" s="35" t="s">
        <v>11</v>
      </c>
      <c r="L41" s="20"/>
      <c r="M41" s="35" t="s">
        <v>11</v>
      </c>
      <c r="N41" s="20"/>
    </row>
    <row r="42" spans="1:14" ht="14.1">
      <c r="A42" s="21" t="s">
        <v>15</v>
      </c>
      <c r="B42" s="20"/>
      <c r="C42" s="21" t="s">
        <v>15</v>
      </c>
      <c r="D42" s="20"/>
      <c r="E42" s="21" t="s">
        <v>15</v>
      </c>
      <c r="F42" s="20"/>
      <c r="G42" s="21" t="s">
        <v>15</v>
      </c>
      <c r="H42" s="20"/>
      <c r="I42" s="30" t="s">
        <v>24</v>
      </c>
      <c r="J42" s="20"/>
      <c r="K42" s="30" t="s">
        <v>24</v>
      </c>
      <c r="L42" s="20"/>
      <c r="M42" s="30" t="s">
        <v>24</v>
      </c>
      <c r="N42" s="20"/>
    </row>
    <row r="43" spans="1:14" ht="14.1">
      <c r="A43" s="56" t="s">
        <v>16</v>
      </c>
      <c r="B43" s="20"/>
      <c r="C43" s="56" t="s">
        <v>16</v>
      </c>
      <c r="D43" s="20"/>
      <c r="E43" s="56" t="s">
        <v>16</v>
      </c>
      <c r="F43" s="20"/>
      <c r="G43" s="56" t="s">
        <v>16</v>
      </c>
      <c r="H43" s="20"/>
      <c r="I43" s="56" t="s">
        <v>16</v>
      </c>
      <c r="J43" s="20"/>
      <c r="K43" s="56" t="s">
        <v>16</v>
      </c>
      <c r="L43" s="20"/>
      <c r="M43" s="56" t="s">
        <v>16</v>
      </c>
      <c r="N43" s="20"/>
    </row>
    <row r="44" spans="1:14" ht="14.1">
      <c r="A44" s="23" t="s">
        <v>28</v>
      </c>
      <c r="B44" s="20"/>
      <c r="C44" s="23" t="s">
        <v>17</v>
      </c>
      <c r="D44" s="20"/>
      <c r="E44" s="23" t="s">
        <v>28</v>
      </c>
      <c r="F44" s="20"/>
      <c r="G44" s="23" t="s">
        <v>222</v>
      </c>
      <c r="H44" s="20"/>
      <c r="I44" s="22" t="s">
        <v>27</v>
      </c>
      <c r="J44" s="20"/>
      <c r="K44" s="22" t="s">
        <v>137</v>
      </c>
      <c r="L44" s="20"/>
      <c r="M44" s="22" t="s">
        <v>137</v>
      </c>
      <c r="N44" s="20"/>
    </row>
    <row r="45" spans="1:14" ht="18" customHeight="1">
      <c r="A45" s="25" t="s">
        <v>21</v>
      </c>
      <c r="B45" s="20"/>
      <c r="C45" s="25" t="s">
        <v>63</v>
      </c>
      <c r="D45" s="20"/>
      <c r="E45" s="25" t="s">
        <v>50</v>
      </c>
      <c r="F45" s="20"/>
      <c r="G45" s="25" t="s">
        <v>50</v>
      </c>
      <c r="H45" s="20"/>
      <c r="I45" s="25" t="s">
        <v>50</v>
      </c>
      <c r="J45" s="20"/>
      <c r="K45" s="25" t="s">
        <v>50</v>
      </c>
      <c r="L45" s="20"/>
      <c r="M45" s="25" t="s">
        <v>50</v>
      </c>
      <c r="N45" s="20"/>
    </row>
    <row r="46" spans="1:14" ht="18" customHeight="1">
      <c r="A46" s="2" t="str">
        <f>IF(M38="","",IF(MONTH(M38+1)&lt;&gt;MONTH($A$1),"",M38+1))</f>
        <v/>
      </c>
      <c r="B46" s="3"/>
      <c r="C46" s="2" t="str">
        <f>IF(A46="","",IF(MONTH(A46+1)&lt;&gt;MONTH($A$1),"",A46+1))</f>
        <v/>
      </c>
      <c r="D46" s="3"/>
      <c r="E46" s="46" t="s">
        <v>22</v>
      </c>
      <c r="F46" s="47"/>
      <c r="G46" s="48"/>
      <c r="H46" s="47"/>
      <c r="I46" s="47"/>
      <c r="J46" s="47"/>
      <c r="K46" s="47"/>
      <c r="L46" s="47"/>
      <c r="M46" s="47"/>
      <c r="N46" s="49"/>
    </row>
    <row r="47" spans="1:14" ht="14.1">
      <c r="A47" s="29"/>
      <c r="B47" s="20"/>
      <c r="C47" s="44"/>
      <c r="D47" s="20"/>
      <c r="E47" s="45" t="s">
        <v>223</v>
      </c>
      <c r="F47" s="37"/>
      <c r="G47" s="37"/>
      <c r="H47" s="37"/>
      <c r="I47" s="37"/>
      <c r="J47" s="37"/>
      <c r="K47" s="37"/>
      <c r="L47" s="37"/>
      <c r="M47" s="37"/>
      <c r="N47" s="20"/>
    </row>
    <row r="48" spans="1:14" ht="14.1">
      <c r="A48" s="27"/>
      <c r="B48" s="20"/>
      <c r="C48" s="26"/>
      <c r="D48" s="20"/>
      <c r="E48" s="45"/>
      <c r="F48" s="37"/>
      <c r="G48" s="37"/>
      <c r="H48" s="37"/>
      <c r="I48" s="37"/>
      <c r="J48" s="37"/>
      <c r="K48" s="37"/>
      <c r="L48" s="37"/>
      <c r="M48" s="37"/>
      <c r="N48" s="20"/>
    </row>
    <row r="49" spans="1:14" ht="14.1">
      <c r="A49" s="19"/>
      <c r="B49" s="20"/>
      <c r="C49" s="35"/>
      <c r="D49" s="20"/>
      <c r="E49" s="45"/>
      <c r="F49" s="37"/>
      <c r="G49" s="37"/>
      <c r="H49" s="37"/>
      <c r="I49" s="37"/>
      <c r="J49" s="37"/>
      <c r="K49" s="37"/>
      <c r="L49" s="37"/>
      <c r="M49" s="37"/>
      <c r="N49" s="20"/>
    </row>
    <row r="50" spans="1:14" ht="14.1">
      <c r="A50" s="21"/>
      <c r="B50" s="20"/>
      <c r="C50" s="30"/>
      <c r="D50" s="20"/>
      <c r="E50" s="6"/>
      <c r="F50" s="7"/>
      <c r="G50" s="7"/>
      <c r="H50" s="7"/>
      <c r="I50" s="7"/>
      <c r="J50" s="7"/>
      <c r="K50" s="7"/>
      <c r="L50" s="7"/>
      <c r="M50" s="7"/>
      <c r="N50" s="8"/>
    </row>
    <row r="51" spans="1:14" ht="14.1">
      <c r="A51" s="56"/>
      <c r="B51" s="20"/>
      <c r="C51" s="57"/>
      <c r="D51" s="20"/>
      <c r="E51" s="6"/>
      <c r="F51" s="7"/>
      <c r="G51" s="7"/>
      <c r="H51" s="7"/>
      <c r="I51" s="7"/>
      <c r="J51" s="7"/>
      <c r="K51" s="7"/>
      <c r="L51" s="7"/>
      <c r="M51" s="7"/>
      <c r="N51" s="8"/>
    </row>
    <row r="52" spans="1:14" ht="14.1">
      <c r="A52" s="23"/>
      <c r="B52" s="20"/>
      <c r="C52" s="22"/>
      <c r="D52" s="20"/>
      <c r="E52" s="6"/>
      <c r="F52" s="7"/>
      <c r="G52" s="7"/>
      <c r="H52" s="7"/>
      <c r="I52" s="7"/>
      <c r="J52" s="7"/>
      <c r="K52" s="7"/>
      <c r="L52" s="7"/>
      <c r="M52" s="7"/>
      <c r="N52" s="8"/>
    </row>
    <row r="53" spans="1:14" ht="14.1">
      <c r="A53" s="25"/>
      <c r="B53" s="20"/>
      <c r="C53" s="31"/>
      <c r="D53" s="24"/>
      <c r="E53" s="32" t="s">
        <v>23</v>
      </c>
      <c r="F53" s="33"/>
      <c r="G53" s="33"/>
      <c r="H53" s="33"/>
      <c r="I53" s="34" t="str">
        <f>HYPERLINK("https://www.vertex42.com/calendars/academic-calendar.html","https://www.vertex42.com/calendars/academic-calendar.html")</f>
        <v>https://www.vertex42.com/calendars/academic-calendar.html</v>
      </c>
      <c r="J53" s="33"/>
      <c r="K53" s="33"/>
      <c r="L53" s="33"/>
      <c r="M53" s="33"/>
      <c r="N53" s="24"/>
    </row>
  </sheetData>
  <mergeCells count="284">
    <mergeCell ref="A51:B51"/>
    <mergeCell ref="A52:B52"/>
    <mergeCell ref="C52:D52"/>
    <mergeCell ref="A53:B53"/>
    <mergeCell ref="C53:D53"/>
    <mergeCell ref="E53:H53"/>
    <mergeCell ref="I53:N53"/>
    <mergeCell ref="A48:B48"/>
    <mergeCell ref="A49:B49"/>
    <mergeCell ref="C49:D49"/>
    <mergeCell ref="E49:N49"/>
    <mergeCell ref="A50:B50"/>
    <mergeCell ref="C50:D50"/>
    <mergeCell ref="C51:D51"/>
    <mergeCell ref="A43:B43"/>
    <mergeCell ref="C43:D43"/>
    <mergeCell ref="E43:F43"/>
    <mergeCell ref="G43:H43"/>
    <mergeCell ref="I43:J43"/>
    <mergeCell ref="K43:L43"/>
    <mergeCell ref="M43:N43"/>
    <mergeCell ref="A44:B44"/>
    <mergeCell ref="C44:D44"/>
    <mergeCell ref="E44:F44"/>
    <mergeCell ref="G44:H44"/>
    <mergeCell ref="I44:J44"/>
    <mergeCell ref="K44:L44"/>
    <mergeCell ref="M44:N44"/>
    <mergeCell ref="K41:L41"/>
    <mergeCell ref="M41:N41"/>
    <mergeCell ref="A42:B42"/>
    <mergeCell ref="C42:D42"/>
    <mergeCell ref="E42:F42"/>
    <mergeCell ref="G42:H42"/>
    <mergeCell ref="I42:J42"/>
    <mergeCell ref="K42:L42"/>
    <mergeCell ref="M42:N42"/>
    <mergeCell ref="A47:B47"/>
    <mergeCell ref="C47:D47"/>
    <mergeCell ref="E47:N47"/>
    <mergeCell ref="C48:D48"/>
    <mergeCell ref="E48:N48"/>
    <mergeCell ref="A39:B39"/>
    <mergeCell ref="C39:D39"/>
    <mergeCell ref="E39:F39"/>
    <mergeCell ref="G39:H39"/>
    <mergeCell ref="I39:J39"/>
    <mergeCell ref="K39:L39"/>
    <mergeCell ref="M39:N39"/>
    <mergeCell ref="A40:B40"/>
    <mergeCell ref="C40:D40"/>
    <mergeCell ref="E40:F40"/>
    <mergeCell ref="G40:H40"/>
    <mergeCell ref="I40:J40"/>
    <mergeCell ref="K40:L40"/>
    <mergeCell ref="M40:N40"/>
    <mergeCell ref="A41:B41"/>
    <mergeCell ref="C41:D41"/>
    <mergeCell ref="E41:F41"/>
    <mergeCell ref="G41:H41"/>
    <mergeCell ref="I41:J41"/>
    <mergeCell ref="A45:B45"/>
    <mergeCell ref="C45:D45"/>
    <mergeCell ref="E45:F45"/>
    <mergeCell ref="G45:H45"/>
    <mergeCell ref="I45:J45"/>
    <mergeCell ref="K45:L45"/>
    <mergeCell ref="M45:N45"/>
    <mergeCell ref="E46:F46"/>
    <mergeCell ref="G46:N46"/>
    <mergeCell ref="A36:B36"/>
    <mergeCell ref="C36:D36"/>
    <mergeCell ref="E36:F36"/>
    <mergeCell ref="G36:H36"/>
    <mergeCell ref="I36:J36"/>
    <mergeCell ref="K36:L36"/>
    <mergeCell ref="M36:N36"/>
    <mergeCell ref="A37:B37"/>
    <mergeCell ref="C37:D37"/>
    <mergeCell ref="E37:F37"/>
    <mergeCell ref="G37:H37"/>
    <mergeCell ref="I37:J37"/>
    <mergeCell ref="K37:L37"/>
    <mergeCell ref="M37:N37"/>
    <mergeCell ref="A34:B34"/>
    <mergeCell ref="C34:D34"/>
    <mergeCell ref="E34:F34"/>
    <mergeCell ref="G34:H34"/>
    <mergeCell ref="I34:J34"/>
    <mergeCell ref="K34:L34"/>
    <mergeCell ref="M34:N34"/>
    <mergeCell ref="A35:B35"/>
    <mergeCell ref="C35:D35"/>
    <mergeCell ref="E35:F35"/>
    <mergeCell ref="G35:H35"/>
    <mergeCell ref="I35:J35"/>
    <mergeCell ref="K35:L35"/>
    <mergeCell ref="M35:N35"/>
    <mergeCell ref="A32:B32"/>
    <mergeCell ref="C32:D32"/>
    <mergeCell ref="E32:F32"/>
    <mergeCell ref="G32:H32"/>
    <mergeCell ref="I32:J32"/>
    <mergeCell ref="K32:L32"/>
    <mergeCell ref="M32:N32"/>
    <mergeCell ref="A33:B33"/>
    <mergeCell ref="C33:D33"/>
    <mergeCell ref="E33:F33"/>
    <mergeCell ref="G33:H33"/>
    <mergeCell ref="I33:J33"/>
    <mergeCell ref="K33:L33"/>
    <mergeCell ref="M33:N33"/>
    <mergeCell ref="A29:B29"/>
    <mergeCell ref="C29:D29"/>
    <mergeCell ref="E29:F29"/>
    <mergeCell ref="G29:H29"/>
    <mergeCell ref="I29:J29"/>
    <mergeCell ref="K29:L29"/>
    <mergeCell ref="M29:N29"/>
    <mergeCell ref="A31:B31"/>
    <mergeCell ref="C31:D31"/>
    <mergeCell ref="E31:F31"/>
    <mergeCell ref="G31:H31"/>
    <mergeCell ref="I31:J31"/>
    <mergeCell ref="K31:L31"/>
    <mergeCell ref="M31:N31"/>
    <mergeCell ref="A27:B27"/>
    <mergeCell ref="C27:D27"/>
    <mergeCell ref="E27:F27"/>
    <mergeCell ref="G27:H27"/>
    <mergeCell ref="I27:J27"/>
    <mergeCell ref="K27:L27"/>
    <mergeCell ref="M27:N27"/>
    <mergeCell ref="A28:B28"/>
    <mergeCell ref="C28:D28"/>
    <mergeCell ref="E28:F28"/>
    <mergeCell ref="G28:H28"/>
    <mergeCell ref="I28:J28"/>
    <mergeCell ref="K28:L28"/>
    <mergeCell ref="M28:N28"/>
    <mergeCell ref="A25:B25"/>
    <mergeCell ref="C25:D25"/>
    <mergeCell ref="E25:F25"/>
    <mergeCell ref="G25:H25"/>
    <mergeCell ref="I25:J25"/>
    <mergeCell ref="K25:L25"/>
    <mergeCell ref="M25:N25"/>
    <mergeCell ref="A26:B26"/>
    <mergeCell ref="C26:D26"/>
    <mergeCell ref="E26:F26"/>
    <mergeCell ref="G26:H26"/>
    <mergeCell ref="I26:J26"/>
    <mergeCell ref="K26:L26"/>
    <mergeCell ref="M26:N26"/>
    <mergeCell ref="A23:B23"/>
    <mergeCell ref="C23:D23"/>
    <mergeCell ref="E23:F23"/>
    <mergeCell ref="G23:H23"/>
    <mergeCell ref="I23:J23"/>
    <mergeCell ref="K23:L23"/>
    <mergeCell ref="M23:N23"/>
    <mergeCell ref="A24:B24"/>
    <mergeCell ref="C24:D24"/>
    <mergeCell ref="E24:F24"/>
    <mergeCell ref="G24:H24"/>
    <mergeCell ref="I24:J24"/>
    <mergeCell ref="K24:L24"/>
    <mergeCell ref="M24:N24"/>
    <mergeCell ref="A20:B20"/>
    <mergeCell ref="C20:D20"/>
    <mergeCell ref="E20:F20"/>
    <mergeCell ref="G20:H20"/>
    <mergeCell ref="I20:J20"/>
    <mergeCell ref="K20:L20"/>
    <mergeCell ref="M20:N20"/>
    <mergeCell ref="A21:B21"/>
    <mergeCell ref="C21:D21"/>
    <mergeCell ref="E21:F21"/>
    <mergeCell ref="G21:H21"/>
    <mergeCell ref="I21:J21"/>
    <mergeCell ref="K21:L21"/>
    <mergeCell ref="M21:N21"/>
    <mergeCell ref="A18:B18"/>
    <mergeCell ref="C18:D18"/>
    <mergeCell ref="E18:F18"/>
    <mergeCell ref="G18:H18"/>
    <mergeCell ref="I18:J18"/>
    <mergeCell ref="K18:L18"/>
    <mergeCell ref="M18:N18"/>
    <mergeCell ref="A19:B19"/>
    <mergeCell ref="C19:D19"/>
    <mergeCell ref="E19:F19"/>
    <mergeCell ref="G19:H19"/>
    <mergeCell ref="I19:J19"/>
    <mergeCell ref="K19:L19"/>
    <mergeCell ref="M19:N19"/>
    <mergeCell ref="A16:B16"/>
    <mergeCell ref="C16:D16"/>
    <mergeCell ref="E16:F16"/>
    <mergeCell ref="G16:H16"/>
    <mergeCell ref="I16:J16"/>
    <mergeCell ref="K16:L16"/>
    <mergeCell ref="M16:N16"/>
    <mergeCell ref="A17:B17"/>
    <mergeCell ref="C17:D17"/>
    <mergeCell ref="E17:F17"/>
    <mergeCell ref="G17:H17"/>
    <mergeCell ref="I17:J17"/>
    <mergeCell ref="K17:L17"/>
    <mergeCell ref="M17:N17"/>
    <mergeCell ref="A13:B13"/>
    <mergeCell ref="C13:D13"/>
    <mergeCell ref="E13:F13"/>
    <mergeCell ref="G13:H13"/>
    <mergeCell ref="I13:J13"/>
    <mergeCell ref="K13:L13"/>
    <mergeCell ref="M13:N13"/>
    <mergeCell ref="A15:B15"/>
    <mergeCell ref="C15:D15"/>
    <mergeCell ref="E15:F15"/>
    <mergeCell ref="G15:H15"/>
    <mergeCell ref="I15:J15"/>
    <mergeCell ref="K15:L15"/>
    <mergeCell ref="M15:N15"/>
    <mergeCell ref="K3:L3"/>
    <mergeCell ref="A7:B7"/>
    <mergeCell ref="C7:D7"/>
    <mergeCell ref="E7:F7"/>
    <mergeCell ref="G7:H7"/>
    <mergeCell ref="I7:J7"/>
    <mergeCell ref="K7:L7"/>
    <mergeCell ref="M7:N7"/>
    <mergeCell ref="A8:B8"/>
    <mergeCell ref="C8:D8"/>
    <mergeCell ref="E8:F8"/>
    <mergeCell ref="G8:H8"/>
    <mergeCell ref="I8:J8"/>
    <mergeCell ref="K8:L8"/>
    <mergeCell ref="M8:N8"/>
    <mergeCell ref="A1:B1"/>
    <mergeCell ref="K1:N1"/>
    <mergeCell ref="A2:N2"/>
    <mergeCell ref="A3:B3"/>
    <mergeCell ref="C3:D3"/>
    <mergeCell ref="E3:F3"/>
    <mergeCell ref="G3:H3"/>
    <mergeCell ref="A11:B11"/>
    <mergeCell ref="C11:D11"/>
    <mergeCell ref="E11:F11"/>
    <mergeCell ref="G11:H11"/>
    <mergeCell ref="I11:J11"/>
    <mergeCell ref="K11:L11"/>
    <mergeCell ref="M11:N11"/>
    <mergeCell ref="K5:L5"/>
    <mergeCell ref="M5:N5"/>
    <mergeCell ref="M3:N3"/>
    <mergeCell ref="A4:N4"/>
    <mergeCell ref="A5:B5"/>
    <mergeCell ref="C5:D5"/>
    <mergeCell ref="E5:F5"/>
    <mergeCell ref="G5:H5"/>
    <mergeCell ref="I5:J5"/>
    <mergeCell ref="I3:J3"/>
    <mergeCell ref="A12:B12"/>
    <mergeCell ref="C12:D12"/>
    <mergeCell ref="E12:F12"/>
    <mergeCell ref="G12:H12"/>
    <mergeCell ref="I12:J12"/>
    <mergeCell ref="K12:L12"/>
    <mergeCell ref="M12:N12"/>
    <mergeCell ref="A9:B9"/>
    <mergeCell ref="C9:D9"/>
    <mergeCell ref="E9:F9"/>
    <mergeCell ref="G9:H9"/>
    <mergeCell ref="I9:J9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</mergeCells>
  <printOptions horizontalCentered="1" gridLines="1"/>
  <pageMargins left="0.25" right="0.25" top="0.5" bottom="0.5" header="0" footer="0"/>
  <pageSetup pageOrder="overThenDown" orientation="landscape" cellComments="atEnd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  <pageSetUpPr fitToPage="1"/>
  </sheetPr>
  <dimension ref="A1:N53"/>
  <sheetViews>
    <sheetView showGridLines="0" topLeftCell="A2" workbookViewId="0"/>
  </sheetViews>
  <sheetFormatPr defaultColWidth="12.5703125" defaultRowHeight="12.75" customHeight="1"/>
  <cols>
    <col min="1" max="1" width="3.85546875" customWidth="1"/>
    <col min="2" max="2" width="13.42578125" customWidth="1"/>
    <col min="3" max="3" width="3.85546875" customWidth="1"/>
    <col min="4" max="4" width="13.42578125" customWidth="1"/>
    <col min="5" max="5" width="3.85546875" customWidth="1"/>
    <col min="6" max="6" width="13.42578125" customWidth="1"/>
    <col min="7" max="7" width="3.85546875" customWidth="1"/>
    <col min="8" max="8" width="13.42578125" customWidth="1"/>
    <col min="9" max="9" width="3.85546875" customWidth="1"/>
    <col min="10" max="10" width="13.42578125" customWidth="1"/>
    <col min="11" max="11" width="3.85546875" customWidth="1"/>
    <col min="12" max="12" width="13.42578125" customWidth="1"/>
    <col min="13" max="13" width="3.85546875" customWidth="1"/>
    <col min="14" max="14" width="13.42578125" customWidth="1"/>
  </cols>
  <sheetData>
    <row r="1" spans="1:14" ht="12.6" hidden="1">
      <c r="A1" s="36">
        <f>EDATE('©'!A17,7)</f>
        <v>45323</v>
      </c>
      <c r="B1" s="37"/>
      <c r="C1" s="1"/>
      <c r="D1" s="1"/>
      <c r="E1" s="1"/>
      <c r="F1" s="1"/>
      <c r="G1" s="1"/>
      <c r="H1" s="1"/>
      <c r="I1" s="1"/>
      <c r="J1" s="1"/>
      <c r="K1" s="38" t="s">
        <v>0</v>
      </c>
      <c r="L1" s="37"/>
      <c r="M1" s="37"/>
      <c r="N1" s="37"/>
    </row>
    <row r="2" spans="1:14" ht="18" customHeight="1">
      <c r="A2" s="39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1:14" ht="18" customHeight="1">
      <c r="A3" s="29" t="s">
        <v>2</v>
      </c>
      <c r="B3" s="37"/>
      <c r="C3" s="27" t="s">
        <v>3</v>
      </c>
      <c r="D3" s="37"/>
      <c r="E3" s="19" t="s">
        <v>4</v>
      </c>
      <c r="F3" s="37"/>
      <c r="G3" s="21" t="s">
        <v>5</v>
      </c>
      <c r="H3" s="37"/>
      <c r="I3" s="56" t="s">
        <v>6</v>
      </c>
      <c r="J3" s="37"/>
      <c r="K3" s="23" t="s">
        <v>7</v>
      </c>
      <c r="L3" s="37"/>
      <c r="M3" s="25" t="s">
        <v>8</v>
      </c>
      <c r="N3" s="37"/>
    </row>
    <row r="4" spans="1:14" ht="60.75" customHeight="1">
      <c r="A4" s="42" t="str">
        <f>UPPER(TEXT(A1,"mmmm yyyy"))</f>
        <v>FEBRUARY 2024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</row>
    <row r="5" spans="1:14" ht="15" customHeight="1">
      <c r="A5" s="40">
        <f>A14</f>
        <v>45327</v>
      </c>
      <c r="B5" s="41"/>
      <c r="C5" s="40">
        <f>C14</f>
        <v>45328</v>
      </c>
      <c r="D5" s="41"/>
      <c r="E5" s="40">
        <f>E14</f>
        <v>45329</v>
      </c>
      <c r="F5" s="41"/>
      <c r="G5" s="40">
        <f>G14</f>
        <v>45330</v>
      </c>
      <c r="H5" s="41"/>
      <c r="I5" s="40">
        <f>I14</f>
        <v>45331</v>
      </c>
      <c r="J5" s="41"/>
      <c r="K5" s="40">
        <f>K14</f>
        <v>45332</v>
      </c>
      <c r="L5" s="41"/>
      <c r="M5" s="40">
        <f>M14</f>
        <v>45333</v>
      </c>
      <c r="N5" s="41"/>
    </row>
    <row r="6" spans="1:14" ht="18" customHeight="1">
      <c r="A6" s="2" t="str">
        <f>IF(WEEKDAY($A$1,1)=startday,$A$1,"")</f>
        <v/>
      </c>
      <c r="B6" s="3"/>
      <c r="C6" s="2" t="str">
        <f>IF(A6="",IF(WEEKDAY($A$1,1)=MOD(startday,7)+1,$A$1,""),A6+1)</f>
        <v/>
      </c>
      <c r="D6" s="3"/>
      <c r="E6" s="2" t="str">
        <f>IF(C6="",IF(WEEKDAY($A$1,1)=MOD(startday,7)+2,$A$1,""),C6+1)</f>
        <v/>
      </c>
      <c r="F6" s="3"/>
      <c r="G6" s="2">
        <f>IF(E6="",IF(WEEKDAY($A$1,1)=MOD(startday,7)+3,$A$1,""),E6+1)</f>
        <v>45323</v>
      </c>
      <c r="H6" s="3"/>
      <c r="I6" s="2">
        <f>IF(G6="",IF(WEEKDAY($A$1,1)=MOD(startday,7)+4,$A$1,""),G6+1)</f>
        <v>45324</v>
      </c>
      <c r="J6" s="3"/>
      <c r="K6" s="4">
        <f>IF(I6="",IF(WEEKDAY($A$1,1)=MOD(startday,7)+5,$A$1,""),I6+1)</f>
        <v>45325</v>
      </c>
      <c r="L6" s="5"/>
      <c r="M6" s="4">
        <f>IF(K6="",IF(WEEKDAY($A$1,1)=MOD(startday+5,7)+1,$A$1,""),K6+1)</f>
        <v>45326</v>
      </c>
      <c r="N6" s="5"/>
    </row>
    <row r="7" spans="1:14" ht="14.1">
      <c r="A7" s="29" t="s">
        <v>24</v>
      </c>
      <c r="B7" s="20"/>
      <c r="C7" s="29" t="s">
        <v>24</v>
      </c>
      <c r="D7" s="20"/>
      <c r="E7" s="29" t="s">
        <v>24</v>
      </c>
      <c r="F7" s="20"/>
      <c r="G7" s="29" t="s">
        <v>24</v>
      </c>
      <c r="H7" s="20"/>
      <c r="I7" s="44" t="s">
        <v>53</v>
      </c>
      <c r="J7" s="20"/>
      <c r="K7" s="44" t="s">
        <v>9</v>
      </c>
      <c r="L7" s="20"/>
      <c r="M7" s="44" t="s">
        <v>9</v>
      </c>
      <c r="N7" s="20"/>
    </row>
    <row r="8" spans="1:14" ht="14.1">
      <c r="A8" s="27" t="s">
        <v>54</v>
      </c>
      <c r="B8" s="20"/>
      <c r="C8" s="27" t="s">
        <v>54</v>
      </c>
      <c r="D8" s="20"/>
      <c r="E8" s="27" t="s">
        <v>54</v>
      </c>
      <c r="F8" s="20"/>
      <c r="G8" s="27" t="s">
        <v>54</v>
      </c>
      <c r="H8" s="20"/>
      <c r="I8" s="26" t="s">
        <v>16</v>
      </c>
      <c r="J8" s="20"/>
      <c r="K8" s="26" t="s">
        <v>16</v>
      </c>
      <c r="L8" s="20"/>
      <c r="M8" s="26" t="s">
        <v>16</v>
      </c>
      <c r="N8" s="20"/>
    </row>
    <row r="9" spans="1:14" ht="14.1">
      <c r="A9" s="19" t="s">
        <v>11</v>
      </c>
      <c r="B9" s="20"/>
      <c r="C9" s="19" t="s">
        <v>11</v>
      </c>
      <c r="D9" s="20"/>
      <c r="E9" s="19" t="s">
        <v>11</v>
      </c>
      <c r="F9" s="20"/>
      <c r="G9" s="19" t="s">
        <v>11</v>
      </c>
      <c r="H9" s="20"/>
      <c r="I9" s="35" t="s">
        <v>10</v>
      </c>
      <c r="J9" s="20"/>
      <c r="K9" s="35" t="s">
        <v>32</v>
      </c>
      <c r="L9" s="20"/>
      <c r="M9" s="35" t="s">
        <v>32</v>
      </c>
      <c r="N9" s="20"/>
    </row>
    <row r="10" spans="1:14" ht="14.1">
      <c r="A10" s="21" t="s">
        <v>24</v>
      </c>
      <c r="B10" s="20"/>
      <c r="C10" s="21" t="s">
        <v>24</v>
      </c>
      <c r="D10" s="20"/>
      <c r="E10" s="21" t="s">
        <v>24</v>
      </c>
      <c r="F10" s="20"/>
      <c r="G10" s="21" t="s">
        <v>24</v>
      </c>
      <c r="H10" s="20"/>
      <c r="I10" s="21" t="s">
        <v>24</v>
      </c>
      <c r="J10" s="20"/>
      <c r="K10" s="21" t="s">
        <v>24</v>
      </c>
      <c r="L10" s="20"/>
      <c r="M10" s="21" t="s">
        <v>24</v>
      </c>
      <c r="N10" s="20"/>
    </row>
    <row r="11" spans="1:14" ht="14.1">
      <c r="A11" s="56" t="s">
        <v>13</v>
      </c>
      <c r="B11" s="20"/>
      <c r="C11" s="56" t="s">
        <v>13</v>
      </c>
      <c r="D11" s="20"/>
      <c r="E11" s="56" t="s">
        <v>13</v>
      </c>
      <c r="F11" s="20"/>
      <c r="G11" s="56" t="s">
        <v>13</v>
      </c>
      <c r="H11" s="20"/>
      <c r="I11" s="56" t="s">
        <v>13</v>
      </c>
      <c r="J11" s="20"/>
      <c r="K11" s="56" t="s">
        <v>13</v>
      </c>
      <c r="L11" s="20"/>
      <c r="M11" s="56" t="s">
        <v>13</v>
      </c>
      <c r="N11" s="20"/>
    </row>
    <row r="12" spans="1:14" ht="14.1">
      <c r="A12" s="23" t="s">
        <v>26</v>
      </c>
      <c r="B12" s="20"/>
      <c r="C12" s="23" t="s">
        <v>26</v>
      </c>
      <c r="D12" s="20"/>
      <c r="E12" s="23" t="s">
        <v>26</v>
      </c>
      <c r="F12" s="20"/>
      <c r="G12" s="23" t="s">
        <v>26</v>
      </c>
      <c r="H12" s="20"/>
      <c r="I12" s="23" t="s">
        <v>44</v>
      </c>
      <c r="J12" s="20"/>
      <c r="K12" s="22" t="s">
        <v>36</v>
      </c>
      <c r="L12" s="20"/>
      <c r="M12" s="22" t="s">
        <v>36</v>
      </c>
      <c r="N12" s="20"/>
    </row>
    <row r="13" spans="1:14" ht="18" customHeight="1">
      <c r="A13" s="25" t="s">
        <v>63</v>
      </c>
      <c r="B13" s="20"/>
      <c r="C13" s="25" t="s">
        <v>63</v>
      </c>
      <c r="D13" s="20"/>
      <c r="E13" s="25" t="s">
        <v>63</v>
      </c>
      <c r="F13" s="20"/>
      <c r="G13" s="25" t="s">
        <v>63</v>
      </c>
      <c r="H13" s="20"/>
      <c r="I13" s="25" t="s">
        <v>50</v>
      </c>
      <c r="J13" s="20"/>
      <c r="K13" s="25" t="s">
        <v>50</v>
      </c>
      <c r="L13" s="20"/>
      <c r="M13" s="25" t="s">
        <v>50</v>
      </c>
      <c r="N13" s="20"/>
    </row>
    <row r="14" spans="1:14" ht="18" customHeight="1">
      <c r="A14" s="2">
        <f>M6+1</f>
        <v>45327</v>
      </c>
      <c r="B14" s="3"/>
      <c r="C14" s="2">
        <f>A14+1</f>
        <v>45328</v>
      </c>
      <c r="D14" s="3"/>
      <c r="E14" s="2">
        <f>C14+1</f>
        <v>45329</v>
      </c>
      <c r="F14" s="3"/>
      <c r="G14" s="2">
        <f>E14+1</f>
        <v>45330</v>
      </c>
      <c r="H14" s="3"/>
      <c r="I14" s="2">
        <f>G14+1</f>
        <v>45331</v>
      </c>
      <c r="J14" s="3"/>
      <c r="K14" s="4">
        <f>I14+1</f>
        <v>45332</v>
      </c>
      <c r="L14" s="5"/>
      <c r="M14" s="4">
        <f>K14+1</f>
        <v>45333</v>
      </c>
      <c r="N14" s="5"/>
    </row>
    <row r="15" spans="1:14" ht="14.1">
      <c r="A15" s="29" t="s">
        <v>31</v>
      </c>
      <c r="B15" s="20"/>
      <c r="C15" s="29" t="s">
        <v>9</v>
      </c>
      <c r="D15" s="20"/>
      <c r="E15" s="29" t="s">
        <v>9</v>
      </c>
      <c r="F15" s="20"/>
      <c r="G15" s="29" t="s">
        <v>9</v>
      </c>
      <c r="H15" s="20"/>
      <c r="I15" s="44" t="s">
        <v>78</v>
      </c>
      <c r="J15" s="20"/>
      <c r="K15" s="44" t="s">
        <v>50</v>
      </c>
      <c r="L15" s="20"/>
      <c r="M15" s="44" t="s">
        <v>52</v>
      </c>
      <c r="N15" s="20"/>
    </row>
    <row r="16" spans="1:14" ht="14.1">
      <c r="A16" s="27" t="s">
        <v>16</v>
      </c>
      <c r="B16" s="20"/>
      <c r="C16" s="27" t="s">
        <v>16</v>
      </c>
      <c r="D16" s="20"/>
      <c r="E16" s="27" t="s">
        <v>16</v>
      </c>
      <c r="F16" s="20"/>
      <c r="G16" s="27" t="s">
        <v>16</v>
      </c>
      <c r="H16" s="20"/>
      <c r="I16" s="26" t="s">
        <v>51</v>
      </c>
      <c r="J16" s="20"/>
      <c r="K16" s="26" t="s">
        <v>51</v>
      </c>
      <c r="L16" s="20"/>
      <c r="M16" s="26" t="s">
        <v>51</v>
      </c>
      <c r="N16" s="20"/>
    </row>
    <row r="17" spans="1:14" ht="14.1">
      <c r="A17" s="19" t="s">
        <v>75</v>
      </c>
      <c r="B17" s="20"/>
      <c r="C17" s="35" t="s">
        <v>11</v>
      </c>
      <c r="D17" s="20"/>
      <c r="E17" s="19" t="s">
        <v>39</v>
      </c>
      <c r="F17" s="20"/>
      <c r="G17" s="35" t="s">
        <v>11</v>
      </c>
      <c r="H17" s="20"/>
      <c r="I17" s="35" t="s">
        <v>112</v>
      </c>
      <c r="J17" s="20"/>
      <c r="K17" s="35" t="s">
        <v>112</v>
      </c>
      <c r="L17" s="20"/>
      <c r="M17" s="35" t="s">
        <v>55</v>
      </c>
      <c r="N17" s="20"/>
    </row>
    <row r="18" spans="1:14" ht="14.1">
      <c r="A18" s="21" t="s">
        <v>15</v>
      </c>
      <c r="B18" s="20"/>
      <c r="C18" s="30" t="s">
        <v>24</v>
      </c>
      <c r="D18" s="20"/>
      <c r="E18" s="21" t="s">
        <v>24</v>
      </c>
      <c r="F18" s="20"/>
      <c r="G18" s="30" t="s">
        <v>15</v>
      </c>
      <c r="H18" s="20"/>
      <c r="I18" s="30" t="s">
        <v>15</v>
      </c>
      <c r="J18" s="20"/>
      <c r="K18" s="30" t="s">
        <v>15</v>
      </c>
      <c r="L18" s="20"/>
      <c r="M18" s="30" t="s">
        <v>15</v>
      </c>
      <c r="N18" s="20"/>
    </row>
    <row r="19" spans="1:14" ht="14.1">
      <c r="A19" s="56" t="s">
        <v>25</v>
      </c>
      <c r="B19" s="20"/>
      <c r="C19" s="56" t="s">
        <v>25</v>
      </c>
      <c r="D19" s="20"/>
      <c r="E19" s="56" t="s">
        <v>25</v>
      </c>
      <c r="F19" s="20"/>
      <c r="G19" s="56" t="s">
        <v>25</v>
      </c>
      <c r="H19" s="20"/>
      <c r="I19" s="56" t="s">
        <v>25</v>
      </c>
      <c r="J19" s="20"/>
      <c r="K19" s="56" t="s">
        <v>25</v>
      </c>
      <c r="L19" s="20"/>
      <c r="M19" s="56" t="s">
        <v>25</v>
      </c>
      <c r="N19" s="20"/>
    </row>
    <row r="20" spans="1:14" ht="14.1">
      <c r="A20" s="23" t="s">
        <v>27</v>
      </c>
      <c r="B20" s="20"/>
      <c r="C20" s="23" t="s">
        <v>27</v>
      </c>
      <c r="D20" s="20"/>
      <c r="E20" s="23" t="s">
        <v>28</v>
      </c>
      <c r="F20" s="20"/>
      <c r="G20" s="23" t="s">
        <v>27</v>
      </c>
      <c r="H20" s="20"/>
      <c r="I20" s="23" t="s">
        <v>27</v>
      </c>
      <c r="J20" s="20"/>
      <c r="K20" s="23" t="s">
        <v>19</v>
      </c>
      <c r="L20" s="20"/>
      <c r="M20" s="23" t="s">
        <v>19</v>
      </c>
      <c r="N20" s="20"/>
    </row>
    <row r="21" spans="1:14" ht="18" customHeight="1">
      <c r="A21" s="25" t="s">
        <v>30</v>
      </c>
      <c r="B21" s="20"/>
      <c r="C21" s="25" t="s">
        <v>30</v>
      </c>
      <c r="D21" s="20"/>
      <c r="E21" s="25" t="s">
        <v>30</v>
      </c>
      <c r="F21" s="20"/>
      <c r="G21" s="25" t="s">
        <v>30</v>
      </c>
      <c r="H21" s="20"/>
      <c r="I21" s="25" t="s">
        <v>30</v>
      </c>
      <c r="J21" s="20"/>
      <c r="K21" s="25" t="s">
        <v>30</v>
      </c>
      <c r="L21" s="20"/>
      <c r="M21" s="25" t="s">
        <v>30</v>
      </c>
      <c r="N21" s="20"/>
    </row>
    <row r="22" spans="1:14" ht="18" customHeight="1">
      <c r="A22" s="2">
        <f>M14+1</f>
        <v>45334</v>
      </c>
      <c r="B22" s="3"/>
      <c r="C22" s="2">
        <f>A22+1</f>
        <v>45335</v>
      </c>
      <c r="D22" s="3"/>
      <c r="E22" s="2">
        <f>C22+1</f>
        <v>45336</v>
      </c>
      <c r="F22" s="3"/>
      <c r="G22" s="2">
        <f>E22+1</f>
        <v>45337</v>
      </c>
      <c r="H22" s="3"/>
      <c r="I22" s="2">
        <f>G22+1</f>
        <v>45338</v>
      </c>
      <c r="J22" s="3"/>
      <c r="K22" s="4">
        <f>I22+1</f>
        <v>45339</v>
      </c>
      <c r="L22" s="5"/>
      <c r="M22" s="4">
        <f>K22+1</f>
        <v>45340</v>
      </c>
      <c r="N22" s="5"/>
    </row>
    <row r="23" spans="1:14" ht="14.1">
      <c r="A23" s="29" t="s">
        <v>78</v>
      </c>
      <c r="B23" s="20"/>
      <c r="C23" s="44" t="s">
        <v>50</v>
      </c>
      <c r="D23" s="20"/>
      <c r="E23" s="44" t="s">
        <v>52</v>
      </c>
      <c r="F23" s="20"/>
      <c r="G23" s="44" t="s">
        <v>50</v>
      </c>
      <c r="H23" s="20"/>
      <c r="I23" s="44" t="s">
        <v>78</v>
      </c>
      <c r="J23" s="20"/>
      <c r="K23" s="44" t="s">
        <v>11</v>
      </c>
      <c r="L23" s="20"/>
      <c r="M23" s="44" t="s">
        <v>11</v>
      </c>
      <c r="N23" s="20"/>
    </row>
    <row r="24" spans="1:14" ht="14.1">
      <c r="A24" s="27" t="s">
        <v>51</v>
      </c>
      <c r="B24" s="20"/>
      <c r="C24" s="27" t="s">
        <v>51</v>
      </c>
      <c r="D24" s="20"/>
      <c r="E24" s="27" t="s">
        <v>51</v>
      </c>
      <c r="F24" s="20"/>
      <c r="G24" s="27" t="s">
        <v>51</v>
      </c>
      <c r="H24" s="20"/>
      <c r="I24" s="26" t="s">
        <v>59</v>
      </c>
      <c r="J24" s="20"/>
      <c r="K24" s="26" t="s">
        <v>59</v>
      </c>
      <c r="L24" s="20"/>
      <c r="M24" s="26" t="s">
        <v>59</v>
      </c>
      <c r="N24" s="20"/>
    </row>
    <row r="25" spans="1:14" ht="14.1">
      <c r="A25" s="19" t="s">
        <v>112</v>
      </c>
      <c r="B25" s="20"/>
      <c r="C25" s="35" t="s">
        <v>13</v>
      </c>
      <c r="D25" s="20"/>
      <c r="E25" s="19" t="s">
        <v>55</v>
      </c>
      <c r="F25" s="20"/>
      <c r="G25" s="35" t="s">
        <v>13</v>
      </c>
      <c r="H25" s="20"/>
      <c r="I25" s="35" t="s">
        <v>53</v>
      </c>
      <c r="J25" s="20"/>
      <c r="K25" s="35" t="s">
        <v>62</v>
      </c>
      <c r="L25" s="20"/>
      <c r="M25" s="35" t="s">
        <v>62</v>
      </c>
      <c r="N25" s="20"/>
    </row>
    <row r="26" spans="1:14" ht="14.1">
      <c r="A26" s="21" t="s">
        <v>15</v>
      </c>
      <c r="B26" s="20"/>
      <c r="C26" s="30" t="s">
        <v>24</v>
      </c>
      <c r="D26" s="20"/>
      <c r="E26" s="21" t="s">
        <v>24</v>
      </c>
      <c r="F26" s="20"/>
      <c r="G26" s="30" t="s">
        <v>24</v>
      </c>
      <c r="H26" s="20"/>
      <c r="I26" s="30" t="s">
        <v>15</v>
      </c>
      <c r="J26" s="20"/>
      <c r="K26" s="30" t="s">
        <v>15</v>
      </c>
      <c r="L26" s="20"/>
      <c r="M26" s="30" t="s">
        <v>15</v>
      </c>
      <c r="N26" s="20"/>
    </row>
    <row r="27" spans="1:14" ht="14.1">
      <c r="A27" s="56" t="s">
        <v>16</v>
      </c>
      <c r="B27" s="20"/>
      <c r="C27" s="56" t="s">
        <v>16</v>
      </c>
      <c r="D27" s="20"/>
      <c r="E27" s="56" t="s">
        <v>16</v>
      </c>
      <c r="F27" s="20"/>
      <c r="G27" s="56" t="s">
        <v>16</v>
      </c>
      <c r="H27" s="20"/>
      <c r="I27" s="56" t="s">
        <v>16</v>
      </c>
      <c r="J27" s="20"/>
      <c r="K27" s="56" t="s">
        <v>16</v>
      </c>
      <c r="L27" s="20"/>
      <c r="M27" s="56" t="s">
        <v>16</v>
      </c>
      <c r="N27" s="20"/>
    </row>
    <row r="28" spans="1:14" ht="14.1">
      <c r="A28" s="23" t="s">
        <v>28</v>
      </c>
      <c r="B28" s="20"/>
      <c r="C28" s="23" t="s">
        <v>17</v>
      </c>
      <c r="D28" s="20"/>
      <c r="E28" s="23" t="s">
        <v>28</v>
      </c>
      <c r="F28" s="20"/>
      <c r="G28" s="23" t="s">
        <v>17</v>
      </c>
      <c r="H28" s="20"/>
      <c r="I28" s="23" t="s">
        <v>17</v>
      </c>
      <c r="J28" s="20"/>
      <c r="K28" s="23" t="s">
        <v>17</v>
      </c>
      <c r="L28" s="20"/>
      <c r="M28" s="23" t="s">
        <v>17</v>
      </c>
      <c r="N28" s="20"/>
    </row>
    <row r="29" spans="1:14" ht="18" customHeight="1">
      <c r="A29" s="25" t="s">
        <v>30</v>
      </c>
      <c r="B29" s="20"/>
      <c r="C29" s="25" t="s">
        <v>29</v>
      </c>
      <c r="D29" s="20"/>
      <c r="E29" s="25" t="s">
        <v>30</v>
      </c>
      <c r="F29" s="20"/>
      <c r="G29" s="25" t="s">
        <v>29</v>
      </c>
      <c r="H29" s="20"/>
      <c r="I29" s="25" t="s">
        <v>29</v>
      </c>
      <c r="J29" s="20"/>
      <c r="K29" s="25" t="s">
        <v>74</v>
      </c>
      <c r="L29" s="20"/>
      <c r="M29" s="25" t="s">
        <v>74</v>
      </c>
      <c r="N29" s="20"/>
    </row>
    <row r="30" spans="1:14" ht="18" customHeight="1">
      <c r="A30" s="2">
        <f>M22+1</f>
        <v>45341</v>
      </c>
      <c r="B30" s="3"/>
      <c r="C30" s="2">
        <f>A30+1</f>
        <v>45342</v>
      </c>
      <c r="D30" s="3"/>
      <c r="E30" s="2">
        <f>C30+1</f>
        <v>45343</v>
      </c>
      <c r="F30" s="3"/>
      <c r="G30" s="2">
        <f>E30+1</f>
        <v>45344</v>
      </c>
      <c r="H30" s="3"/>
      <c r="I30" s="2">
        <f>G30+1</f>
        <v>45345</v>
      </c>
      <c r="J30" s="3"/>
      <c r="K30" s="4">
        <f>I30+1</f>
        <v>45346</v>
      </c>
      <c r="L30" s="5"/>
      <c r="M30" s="4">
        <f>K30+1</f>
        <v>45347</v>
      </c>
      <c r="N30" s="5"/>
    </row>
    <row r="31" spans="1:14" ht="14.1">
      <c r="A31" s="29" t="s">
        <v>39</v>
      </c>
      <c r="B31" s="20"/>
      <c r="C31" s="29" t="s">
        <v>11</v>
      </c>
      <c r="D31" s="20"/>
      <c r="E31" s="29" t="s">
        <v>11</v>
      </c>
      <c r="F31" s="20"/>
      <c r="G31" s="29" t="s">
        <v>11</v>
      </c>
      <c r="H31" s="20"/>
      <c r="I31" s="44" t="s">
        <v>24</v>
      </c>
      <c r="J31" s="20"/>
      <c r="K31" s="44" t="s">
        <v>24</v>
      </c>
      <c r="L31" s="20"/>
      <c r="M31" s="44" t="s">
        <v>24</v>
      </c>
      <c r="N31" s="20"/>
    </row>
    <row r="32" spans="1:14" ht="14.1">
      <c r="A32" s="27" t="s">
        <v>59</v>
      </c>
      <c r="B32" s="20"/>
      <c r="C32" s="27" t="s">
        <v>59</v>
      </c>
      <c r="D32" s="20"/>
      <c r="E32" s="27" t="s">
        <v>59</v>
      </c>
      <c r="F32" s="20"/>
      <c r="G32" s="27" t="s">
        <v>59</v>
      </c>
      <c r="H32" s="20"/>
      <c r="I32" s="26" t="s">
        <v>12</v>
      </c>
      <c r="J32" s="20"/>
      <c r="K32" s="26" t="s">
        <v>12</v>
      </c>
      <c r="L32" s="20"/>
      <c r="M32" s="26" t="s">
        <v>12</v>
      </c>
      <c r="N32" s="20"/>
    </row>
    <row r="33" spans="1:14" ht="14.1">
      <c r="A33" s="19" t="s">
        <v>45</v>
      </c>
      <c r="B33" s="20"/>
      <c r="C33" s="19" t="s">
        <v>9</v>
      </c>
      <c r="D33" s="20"/>
      <c r="E33" s="19" t="s">
        <v>31</v>
      </c>
      <c r="F33" s="20"/>
      <c r="G33" s="19" t="s">
        <v>9</v>
      </c>
      <c r="H33" s="20"/>
      <c r="I33" s="19" t="s">
        <v>31</v>
      </c>
      <c r="J33" s="20"/>
      <c r="K33" s="35" t="s">
        <v>40</v>
      </c>
      <c r="L33" s="20"/>
      <c r="M33" s="35" t="s">
        <v>40</v>
      </c>
      <c r="N33" s="20"/>
    </row>
    <row r="34" spans="1:14" ht="14.1">
      <c r="A34" s="21" t="s">
        <v>15</v>
      </c>
      <c r="B34" s="20"/>
      <c r="C34" s="21" t="s">
        <v>15</v>
      </c>
      <c r="D34" s="20"/>
      <c r="E34" s="21" t="s">
        <v>15</v>
      </c>
      <c r="F34" s="20"/>
      <c r="G34" s="21" t="s">
        <v>15</v>
      </c>
      <c r="H34" s="20"/>
      <c r="I34" s="30" t="s">
        <v>24</v>
      </c>
      <c r="J34" s="20"/>
      <c r="K34" s="30" t="s">
        <v>24</v>
      </c>
      <c r="L34" s="20"/>
      <c r="M34" s="30" t="s">
        <v>24</v>
      </c>
      <c r="N34" s="20"/>
    </row>
    <row r="35" spans="1:14" ht="14.1">
      <c r="A35" s="56" t="s">
        <v>25</v>
      </c>
      <c r="B35" s="20"/>
      <c r="C35" s="56" t="s">
        <v>25</v>
      </c>
      <c r="D35" s="20"/>
      <c r="E35" s="56" t="s">
        <v>25</v>
      </c>
      <c r="F35" s="20"/>
      <c r="G35" s="56" t="s">
        <v>25</v>
      </c>
      <c r="H35" s="20"/>
      <c r="I35" s="56" t="s">
        <v>25</v>
      </c>
      <c r="J35" s="20"/>
      <c r="K35" s="56" t="s">
        <v>25</v>
      </c>
      <c r="L35" s="20"/>
      <c r="M35" s="56" t="s">
        <v>25</v>
      </c>
      <c r="N35" s="20"/>
    </row>
    <row r="36" spans="1:14" ht="14.1">
      <c r="A36" s="23" t="s">
        <v>28</v>
      </c>
      <c r="B36" s="20"/>
      <c r="C36" s="23" t="s">
        <v>224</v>
      </c>
      <c r="D36" s="20"/>
      <c r="E36" s="23" t="s">
        <v>28</v>
      </c>
      <c r="F36" s="20"/>
      <c r="G36" s="22" t="s">
        <v>27</v>
      </c>
      <c r="H36" s="20"/>
      <c r="I36" s="22" t="s">
        <v>71</v>
      </c>
      <c r="J36" s="20"/>
      <c r="K36" s="22" t="s">
        <v>26</v>
      </c>
      <c r="L36" s="20"/>
      <c r="M36" s="22" t="s">
        <v>26</v>
      </c>
      <c r="N36" s="20"/>
    </row>
    <row r="37" spans="1:14" ht="18" customHeight="1">
      <c r="A37" s="25" t="s">
        <v>50</v>
      </c>
      <c r="B37" s="20"/>
      <c r="C37" s="25" t="s">
        <v>50</v>
      </c>
      <c r="D37" s="20"/>
      <c r="E37" s="25" t="s">
        <v>50</v>
      </c>
      <c r="F37" s="20"/>
      <c r="G37" s="25" t="s">
        <v>50</v>
      </c>
      <c r="H37" s="20"/>
      <c r="I37" s="25" t="s">
        <v>117</v>
      </c>
      <c r="J37" s="20"/>
      <c r="K37" s="25" t="s">
        <v>58</v>
      </c>
      <c r="L37" s="20"/>
      <c r="M37" s="25" t="s">
        <v>58</v>
      </c>
      <c r="N37" s="20"/>
    </row>
    <row r="38" spans="1:14" ht="18" customHeight="1">
      <c r="A38" s="2">
        <f>IF(M30="","",IF(MONTH(M30+1)&lt;&gt;MONTH($A$1),"",M30+1))</f>
        <v>45348</v>
      </c>
      <c r="B38" s="3"/>
      <c r="C38" s="2">
        <f>IF(A38="","",IF(MONTH(A38+1)&lt;&gt;MONTH($A$1),"",A38+1))</f>
        <v>45349</v>
      </c>
      <c r="D38" s="3"/>
      <c r="E38" s="2">
        <f>IF(C38="","",IF(MONTH(C38+1)&lt;&gt;MONTH($A$1),"",C38+1))</f>
        <v>45350</v>
      </c>
      <c r="F38" s="3"/>
      <c r="G38" s="2">
        <f>IF(E38="","",IF(MONTH(E38+1)&lt;&gt;MONTH($A$1),"",E38+1))</f>
        <v>45351</v>
      </c>
      <c r="H38" s="3"/>
      <c r="I38" s="2" t="str">
        <f>IF(G38="","",IF(MONTH(G38+1)&lt;&gt;MONTH($A$1),"",G38+1))</f>
        <v/>
      </c>
      <c r="J38" s="3"/>
      <c r="K38" s="4" t="str">
        <f>IF(I38="","",IF(MONTH(I38+1)&lt;&gt;MONTH($A$1),"",I38+1))</f>
        <v/>
      </c>
      <c r="L38" s="5"/>
      <c r="M38" s="4" t="str">
        <f>IF(K38="","",IF(MONTH(K38+1)&lt;&gt;MONTH($A$1),"",K38+1))</f>
        <v/>
      </c>
      <c r="N38" s="5"/>
    </row>
    <row r="39" spans="1:14" ht="14.1">
      <c r="A39" s="29"/>
      <c r="B39" s="20"/>
      <c r="C39" s="44"/>
      <c r="D39" s="20"/>
      <c r="E39" s="29"/>
      <c r="F39" s="20"/>
      <c r="G39" s="44"/>
      <c r="H39" s="20"/>
      <c r="I39" s="44"/>
      <c r="J39" s="20"/>
      <c r="K39" s="44"/>
      <c r="L39" s="20"/>
      <c r="M39" s="44"/>
      <c r="N39" s="20"/>
    </row>
    <row r="40" spans="1:14" ht="14.1">
      <c r="A40" s="27"/>
      <c r="B40" s="20"/>
      <c r="C40" s="26"/>
      <c r="D40" s="20"/>
      <c r="E40" s="27"/>
      <c r="F40" s="20"/>
      <c r="G40" s="26"/>
      <c r="H40" s="20"/>
      <c r="I40" s="26"/>
      <c r="J40" s="20"/>
      <c r="K40" s="26"/>
      <c r="L40" s="20"/>
      <c r="M40" s="26"/>
      <c r="N40" s="20"/>
    </row>
    <row r="41" spans="1:14" ht="14.1">
      <c r="A41" s="19"/>
      <c r="B41" s="20"/>
      <c r="C41" s="35"/>
      <c r="D41" s="20"/>
      <c r="E41" s="19"/>
      <c r="F41" s="20"/>
      <c r="G41" s="35"/>
      <c r="H41" s="20"/>
      <c r="I41" s="35"/>
      <c r="J41" s="20"/>
      <c r="K41" s="35"/>
      <c r="L41" s="20"/>
      <c r="M41" s="35"/>
      <c r="N41" s="20"/>
    </row>
    <row r="42" spans="1:14" ht="14.1">
      <c r="A42" s="21"/>
      <c r="B42" s="20"/>
      <c r="C42" s="30"/>
      <c r="D42" s="20"/>
      <c r="E42" s="21"/>
      <c r="F42" s="20"/>
      <c r="G42" s="30"/>
      <c r="H42" s="20"/>
      <c r="I42" s="30"/>
      <c r="J42" s="20"/>
      <c r="K42" s="30"/>
      <c r="L42" s="20"/>
      <c r="M42" s="30"/>
      <c r="N42" s="20"/>
    </row>
    <row r="43" spans="1:14" ht="14.1">
      <c r="A43" s="56"/>
      <c r="B43" s="20"/>
      <c r="C43" s="57"/>
      <c r="D43" s="20"/>
      <c r="E43" s="56"/>
      <c r="F43" s="20"/>
      <c r="G43" s="57"/>
      <c r="H43" s="20"/>
      <c r="I43" s="57"/>
      <c r="J43" s="20"/>
      <c r="K43" s="57"/>
      <c r="L43" s="20"/>
      <c r="M43" s="57"/>
      <c r="N43" s="20"/>
    </row>
    <row r="44" spans="1:14" ht="14.1">
      <c r="A44" s="23"/>
      <c r="B44" s="20"/>
      <c r="C44" s="22"/>
      <c r="D44" s="20"/>
      <c r="E44" s="23"/>
      <c r="F44" s="20"/>
      <c r="G44" s="22"/>
      <c r="H44" s="20"/>
      <c r="I44" s="22"/>
      <c r="J44" s="20"/>
      <c r="K44" s="22"/>
      <c r="L44" s="20"/>
      <c r="M44" s="22"/>
      <c r="N44" s="20"/>
    </row>
    <row r="45" spans="1:14" ht="18" customHeight="1">
      <c r="A45" s="25"/>
      <c r="B45" s="20"/>
      <c r="C45" s="31"/>
      <c r="D45" s="24"/>
      <c r="E45" s="25"/>
      <c r="F45" s="20"/>
      <c r="G45" s="31"/>
      <c r="H45" s="24"/>
      <c r="I45" s="31"/>
      <c r="J45" s="24"/>
      <c r="K45" s="31"/>
      <c r="L45" s="24"/>
      <c r="M45" s="31"/>
      <c r="N45" s="24"/>
    </row>
    <row r="46" spans="1:14" ht="18" customHeight="1">
      <c r="A46" s="2" t="str">
        <f>IF(M38="","",IF(MONTH(M38+1)&lt;&gt;MONTH($A$1),"",M38+1))</f>
        <v/>
      </c>
      <c r="B46" s="3"/>
      <c r="C46" s="2" t="str">
        <f>IF(A46="","",IF(MONTH(A46+1)&lt;&gt;MONTH($A$1),"",A46+1))</f>
        <v/>
      </c>
      <c r="D46" s="3"/>
      <c r="E46" s="46" t="s">
        <v>22</v>
      </c>
      <c r="F46" s="47"/>
      <c r="G46" s="48"/>
      <c r="H46" s="47"/>
      <c r="I46" s="47"/>
      <c r="J46" s="47"/>
      <c r="K46" s="47"/>
      <c r="L46" s="47"/>
      <c r="M46" s="47"/>
      <c r="N46" s="49"/>
    </row>
    <row r="47" spans="1:14" ht="14.1">
      <c r="A47" s="29"/>
      <c r="B47" s="20"/>
      <c r="C47" s="44"/>
      <c r="D47" s="20"/>
      <c r="E47" s="45"/>
      <c r="F47" s="37"/>
      <c r="G47" s="37"/>
      <c r="H47" s="37"/>
      <c r="I47" s="37"/>
      <c r="J47" s="37"/>
      <c r="K47" s="37"/>
      <c r="L47" s="37"/>
      <c r="M47" s="37"/>
      <c r="N47" s="20"/>
    </row>
    <row r="48" spans="1:14" ht="14.1">
      <c r="A48" s="27"/>
      <c r="B48" s="20"/>
      <c r="C48" s="26"/>
      <c r="D48" s="20"/>
      <c r="E48" s="45"/>
      <c r="F48" s="37"/>
      <c r="G48" s="37"/>
      <c r="H48" s="37"/>
      <c r="I48" s="37"/>
      <c r="J48" s="37"/>
      <c r="K48" s="37"/>
      <c r="L48" s="37"/>
      <c r="M48" s="37"/>
      <c r="N48" s="20"/>
    </row>
    <row r="49" spans="1:14" ht="14.1">
      <c r="A49" s="19"/>
      <c r="B49" s="20"/>
      <c r="C49" s="35"/>
      <c r="D49" s="20"/>
      <c r="E49" s="45"/>
      <c r="F49" s="37"/>
      <c r="G49" s="37"/>
      <c r="H49" s="37"/>
      <c r="I49" s="37"/>
      <c r="J49" s="37"/>
      <c r="K49" s="37"/>
      <c r="L49" s="37"/>
      <c r="M49" s="37"/>
      <c r="N49" s="20"/>
    </row>
    <row r="50" spans="1:14" ht="14.1">
      <c r="A50" s="21"/>
      <c r="B50" s="20"/>
      <c r="C50" s="30"/>
      <c r="D50" s="20"/>
      <c r="E50" s="6"/>
      <c r="F50" s="7"/>
      <c r="G50" s="7"/>
      <c r="H50" s="7"/>
      <c r="I50" s="7"/>
      <c r="J50" s="7"/>
      <c r="K50" s="7"/>
      <c r="L50" s="7"/>
      <c r="M50" s="7"/>
      <c r="N50" s="8"/>
    </row>
    <row r="51" spans="1:14" ht="14.1">
      <c r="A51" s="56"/>
      <c r="B51" s="20"/>
      <c r="C51" s="57"/>
      <c r="D51" s="20"/>
      <c r="E51" s="6"/>
      <c r="F51" s="7"/>
      <c r="G51" s="7"/>
      <c r="H51" s="7"/>
      <c r="I51" s="7"/>
      <c r="J51" s="7"/>
      <c r="K51" s="7"/>
      <c r="L51" s="7"/>
      <c r="M51" s="7"/>
      <c r="N51" s="8"/>
    </row>
    <row r="52" spans="1:14" ht="14.1">
      <c r="A52" s="23"/>
      <c r="B52" s="20"/>
      <c r="C52" s="22"/>
      <c r="D52" s="20"/>
      <c r="E52" s="6"/>
      <c r="F52" s="7"/>
      <c r="G52" s="7"/>
      <c r="H52" s="7"/>
      <c r="I52" s="7"/>
      <c r="J52" s="7"/>
      <c r="K52" s="7"/>
      <c r="L52" s="7"/>
      <c r="M52" s="7"/>
      <c r="N52" s="8"/>
    </row>
    <row r="53" spans="1:14" ht="14.1">
      <c r="A53" s="25"/>
      <c r="B53" s="20"/>
      <c r="C53" s="31"/>
      <c r="D53" s="24"/>
      <c r="E53" s="32" t="s">
        <v>23</v>
      </c>
      <c r="F53" s="33"/>
      <c r="G53" s="33"/>
      <c r="H53" s="33"/>
      <c r="I53" s="34" t="str">
        <f>HYPERLINK("https://www.vertex42.com/calendars/academic-calendar.html","https://www.vertex42.com/calendars/academic-calendar.html")</f>
        <v>https://www.vertex42.com/calendars/academic-calendar.html</v>
      </c>
      <c r="J53" s="33"/>
      <c r="K53" s="33"/>
      <c r="L53" s="33"/>
      <c r="M53" s="33"/>
      <c r="N53" s="24"/>
    </row>
  </sheetData>
  <mergeCells count="284">
    <mergeCell ref="A51:B51"/>
    <mergeCell ref="A52:B52"/>
    <mergeCell ref="C52:D52"/>
    <mergeCell ref="A53:B53"/>
    <mergeCell ref="C53:D53"/>
    <mergeCell ref="E53:H53"/>
    <mergeCell ref="I53:N53"/>
    <mergeCell ref="A48:B48"/>
    <mergeCell ref="A49:B49"/>
    <mergeCell ref="C49:D49"/>
    <mergeCell ref="E49:N49"/>
    <mergeCell ref="A50:B50"/>
    <mergeCell ref="C50:D50"/>
    <mergeCell ref="C51:D51"/>
    <mergeCell ref="A43:B43"/>
    <mergeCell ref="C43:D43"/>
    <mergeCell ref="E43:F43"/>
    <mergeCell ref="G43:H43"/>
    <mergeCell ref="I43:J43"/>
    <mergeCell ref="K43:L43"/>
    <mergeCell ref="M43:N43"/>
    <mergeCell ref="A44:B44"/>
    <mergeCell ref="C44:D44"/>
    <mergeCell ref="E44:F44"/>
    <mergeCell ref="G44:H44"/>
    <mergeCell ref="I44:J44"/>
    <mergeCell ref="K44:L44"/>
    <mergeCell ref="M44:N44"/>
    <mergeCell ref="K41:L41"/>
    <mergeCell ref="M41:N41"/>
    <mergeCell ref="A42:B42"/>
    <mergeCell ref="C42:D42"/>
    <mergeCell ref="E42:F42"/>
    <mergeCell ref="G42:H42"/>
    <mergeCell ref="I42:J42"/>
    <mergeCell ref="K42:L42"/>
    <mergeCell ref="M42:N42"/>
    <mergeCell ref="A47:B47"/>
    <mergeCell ref="C47:D47"/>
    <mergeCell ref="E47:N47"/>
    <mergeCell ref="C48:D48"/>
    <mergeCell ref="E48:N48"/>
    <mergeCell ref="A39:B39"/>
    <mergeCell ref="C39:D39"/>
    <mergeCell ref="E39:F39"/>
    <mergeCell ref="G39:H39"/>
    <mergeCell ref="I39:J39"/>
    <mergeCell ref="K39:L39"/>
    <mergeCell ref="M39:N39"/>
    <mergeCell ref="A40:B40"/>
    <mergeCell ref="C40:D40"/>
    <mergeCell ref="E40:F40"/>
    <mergeCell ref="G40:H40"/>
    <mergeCell ref="I40:J40"/>
    <mergeCell ref="K40:L40"/>
    <mergeCell ref="M40:N40"/>
    <mergeCell ref="A41:B41"/>
    <mergeCell ref="C41:D41"/>
    <mergeCell ref="E41:F41"/>
    <mergeCell ref="G41:H41"/>
    <mergeCell ref="I41:J41"/>
    <mergeCell ref="A45:B45"/>
    <mergeCell ref="C45:D45"/>
    <mergeCell ref="E45:F45"/>
    <mergeCell ref="G45:H45"/>
    <mergeCell ref="I45:J45"/>
    <mergeCell ref="K45:L45"/>
    <mergeCell ref="M45:N45"/>
    <mergeCell ref="E46:F46"/>
    <mergeCell ref="G46:N46"/>
    <mergeCell ref="A36:B36"/>
    <mergeCell ref="C36:D36"/>
    <mergeCell ref="E36:F36"/>
    <mergeCell ref="G36:H36"/>
    <mergeCell ref="I36:J36"/>
    <mergeCell ref="K36:L36"/>
    <mergeCell ref="M36:N36"/>
    <mergeCell ref="A37:B37"/>
    <mergeCell ref="C37:D37"/>
    <mergeCell ref="E37:F37"/>
    <mergeCell ref="G37:H37"/>
    <mergeCell ref="I37:J37"/>
    <mergeCell ref="K37:L37"/>
    <mergeCell ref="M37:N37"/>
    <mergeCell ref="A34:B34"/>
    <mergeCell ref="C34:D34"/>
    <mergeCell ref="E34:F34"/>
    <mergeCell ref="G34:H34"/>
    <mergeCell ref="I34:J34"/>
    <mergeCell ref="K34:L34"/>
    <mergeCell ref="M34:N34"/>
    <mergeCell ref="A35:B35"/>
    <mergeCell ref="C35:D35"/>
    <mergeCell ref="E35:F35"/>
    <mergeCell ref="G35:H35"/>
    <mergeCell ref="I35:J35"/>
    <mergeCell ref="K35:L35"/>
    <mergeCell ref="M35:N35"/>
    <mergeCell ref="A32:B32"/>
    <mergeCell ref="C32:D32"/>
    <mergeCell ref="E32:F32"/>
    <mergeCell ref="G32:H32"/>
    <mergeCell ref="I32:J32"/>
    <mergeCell ref="K32:L32"/>
    <mergeCell ref="M32:N32"/>
    <mergeCell ref="A33:B33"/>
    <mergeCell ref="C33:D33"/>
    <mergeCell ref="E33:F33"/>
    <mergeCell ref="G33:H33"/>
    <mergeCell ref="I33:J33"/>
    <mergeCell ref="K33:L33"/>
    <mergeCell ref="M33:N33"/>
    <mergeCell ref="A29:B29"/>
    <mergeCell ref="C29:D29"/>
    <mergeCell ref="E29:F29"/>
    <mergeCell ref="G29:H29"/>
    <mergeCell ref="I29:J29"/>
    <mergeCell ref="K29:L29"/>
    <mergeCell ref="M29:N29"/>
    <mergeCell ref="A31:B31"/>
    <mergeCell ref="C31:D31"/>
    <mergeCell ref="E31:F31"/>
    <mergeCell ref="G31:H31"/>
    <mergeCell ref="I31:J31"/>
    <mergeCell ref="K31:L31"/>
    <mergeCell ref="M31:N31"/>
    <mergeCell ref="A27:B27"/>
    <mergeCell ref="C27:D27"/>
    <mergeCell ref="E27:F27"/>
    <mergeCell ref="G27:H27"/>
    <mergeCell ref="I27:J27"/>
    <mergeCell ref="K27:L27"/>
    <mergeCell ref="M27:N27"/>
    <mergeCell ref="A28:B28"/>
    <mergeCell ref="C28:D28"/>
    <mergeCell ref="E28:F28"/>
    <mergeCell ref="G28:H28"/>
    <mergeCell ref="I28:J28"/>
    <mergeCell ref="K28:L28"/>
    <mergeCell ref="M28:N28"/>
    <mergeCell ref="A25:B25"/>
    <mergeCell ref="C25:D25"/>
    <mergeCell ref="E25:F25"/>
    <mergeCell ref="G25:H25"/>
    <mergeCell ref="I25:J25"/>
    <mergeCell ref="K25:L25"/>
    <mergeCell ref="M25:N25"/>
    <mergeCell ref="A26:B26"/>
    <mergeCell ref="C26:D26"/>
    <mergeCell ref="E26:F26"/>
    <mergeCell ref="G26:H26"/>
    <mergeCell ref="I26:J26"/>
    <mergeCell ref="K26:L26"/>
    <mergeCell ref="M26:N26"/>
    <mergeCell ref="A23:B23"/>
    <mergeCell ref="C23:D23"/>
    <mergeCell ref="E23:F23"/>
    <mergeCell ref="G23:H23"/>
    <mergeCell ref="I23:J23"/>
    <mergeCell ref="K23:L23"/>
    <mergeCell ref="M23:N23"/>
    <mergeCell ref="A24:B24"/>
    <mergeCell ref="C24:D24"/>
    <mergeCell ref="E24:F24"/>
    <mergeCell ref="G24:H24"/>
    <mergeCell ref="I24:J24"/>
    <mergeCell ref="K24:L24"/>
    <mergeCell ref="M24:N24"/>
    <mergeCell ref="A20:B20"/>
    <mergeCell ref="C20:D20"/>
    <mergeCell ref="E20:F20"/>
    <mergeCell ref="G20:H20"/>
    <mergeCell ref="I20:J20"/>
    <mergeCell ref="K20:L20"/>
    <mergeCell ref="M20:N20"/>
    <mergeCell ref="A21:B21"/>
    <mergeCell ref="C21:D21"/>
    <mergeCell ref="E21:F21"/>
    <mergeCell ref="G21:H21"/>
    <mergeCell ref="I21:J21"/>
    <mergeCell ref="K21:L21"/>
    <mergeCell ref="M21:N21"/>
    <mergeCell ref="A18:B18"/>
    <mergeCell ref="C18:D18"/>
    <mergeCell ref="E18:F18"/>
    <mergeCell ref="G18:H18"/>
    <mergeCell ref="I18:J18"/>
    <mergeCell ref="K18:L18"/>
    <mergeCell ref="M18:N18"/>
    <mergeCell ref="A19:B19"/>
    <mergeCell ref="C19:D19"/>
    <mergeCell ref="E19:F19"/>
    <mergeCell ref="G19:H19"/>
    <mergeCell ref="I19:J19"/>
    <mergeCell ref="K19:L19"/>
    <mergeCell ref="M19:N19"/>
    <mergeCell ref="A16:B16"/>
    <mergeCell ref="C16:D16"/>
    <mergeCell ref="E16:F16"/>
    <mergeCell ref="G16:H16"/>
    <mergeCell ref="I16:J16"/>
    <mergeCell ref="K16:L16"/>
    <mergeCell ref="M16:N16"/>
    <mergeCell ref="A17:B17"/>
    <mergeCell ref="C17:D17"/>
    <mergeCell ref="E17:F17"/>
    <mergeCell ref="G17:H17"/>
    <mergeCell ref="I17:J17"/>
    <mergeCell ref="K17:L17"/>
    <mergeCell ref="M17:N17"/>
    <mergeCell ref="A13:B13"/>
    <mergeCell ref="C13:D13"/>
    <mergeCell ref="E13:F13"/>
    <mergeCell ref="G13:H13"/>
    <mergeCell ref="I13:J13"/>
    <mergeCell ref="K13:L13"/>
    <mergeCell ref="M13:N13"/>
    <mergeCell ref="A15:B15"/>
    <mergeCell ref="C15:D15"/>
    <mergeCell ref="E15:F15"/>
    <mergeCell ref="G15:H15"/>
    <mergeCell ref="I15:J15"/>
    <mergeCell ref="K15:L15"/>
    <mergeCell ref="M15:N15"/>
    <mergeCell ref="K3:L3"/>
    <mergeCell ref="A7:B7"/>
    <mergeCell ref="C7:D7"/>
    <mergeCell ref="E7:F7"/>
    <mergeCell ref="G7:H7"/>
    <mergeCell ref="I7:J7"/>
    <mergeCell ref="K7:L7"/>
    <mergeCell ref="M7:N7"/>
    <mergeCell ref="A8:B8"/>
    <mergeCell ref="C8:D8"/>
    <mergeCell ref="E8:F8"/>
    <mergeCell ref="G8:H8"/>
    <mergeCell ref="I8:J8"/>
    <mergeCell ref="K8:L8"/>
    <mergeCell ref="M8:N8"/>
    <mergeCell ref="A1:B1"/>
    <mergeCell ref="K1:N1"/>
    <mergeCell ref="A2:N2"/>
    <mergeCell ref="A3:B3"/>
    <mergeCell ref="C3:D3"/>
    <mergeCell ref="E3:F3"/>
    <mergeCell ref="G3:H3"/>
    <mergeCell ref="A11:B11"/>
    <mergeCell ref="C11:D11"/>
    <mergeCell ref="E11:F11"/>
    <mergeCell ref="G11:H11"/>
    <mergeCell ref="I11:J11"/>
    <mergeCell ref="K11:L11"/>
    <mergeCell ref="M11:N11"/>
    <mergeCell ref="K5:L5"/>
    <mergeCell ref="M5:N5"/>
    <mergeCell ref="M3:N3"/>
    <mergeCell ref="A4:N4"/>
    <mergeCell ref="A5:B5"/>
    <mergeCell ref="C5:D5"/>
    <mergeCell ref="E5:F5"/>
    <mergeCell ref="G5:H5"/>
    <mergeCell ref="I5:J5"/>
    <mergeCell ref="I3:J3"/>
    <mergeCell ref="A12:B12"/>
    <mergeCell ref="C12:D12"/>
    <mergeCell ref="E12:F12"/>
    <mergeCell ref="G12:H12"/>
    <mergeCell ref="I12:J12"/>
    <mergeCell ref="K12:L12"/>
    <mergeCell ref="M12:N12"/>
    <mergeCell ref="A9:B9"/>
    <mergeCell ref="C9:D9"/>
    <mergeCell ref="E9:F9"/>
    <mergeCell ref="G9:H9"/>
    <mergeCell ref="I9:J9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</mergeCells>
  <printOptions horizontalCentered="1" gridLines="1"/>
  <pageMargins left="0.25" right="0.25" top="0.5" bottom="0.5" header="0" footer="0"/>
  <pageSetup pageOrder="overThenDown" orientation="landscape" cellComments="atEnd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B20"/>
  <sheetViews>
    <sheetView showGridLines="0" workbookViewId="0">
      <selection activeCell="A18" sqref="A18"/>
    </sheetView>
  </sheetViews>
  <sheetFormatPr defaultColWidth="12.5703125" defaultRowHeight="12.75" customHeight="1"/>
  <cols>
    <col min="1" max="1" width="56.42578125" customWidth="1"/>
    <col min="2" max="2" width="15.140625" customWidth="1"/>
  </cols>
  <sheetData>
    <row r="1" spans="1:2" ht="24" customHeight="1">
      <c r="A1" s="10" t="str">
        <f>HYPERLINK("https://www.vertex42.com/calendars/academic-calendar.html","Academic Calendar Template")</f>
        <v>Academic Calendar Template</v>
      </c>
      <c r="B1" s="11"/>
    </row>
    <row r="2" spans="1:2" ht="14.1">
      <c r="A2" s="12"/>
    </row>
    <row r="3" spans="1:2" ht="14.1">
      <c r="A3" s="12" t="s">
        <v>225</v>
      </c>
    </row>
    <row r="4" spans="1:2" ht="12.6">
      <c r="A4" s="13" t="s">
        <v>226</v>
      </c>
    </row>
    <row r="5" spans="1:2" ht="14.1">
      <c r="A5" s="14"/>
    </row>
    <row r="6" spans="1:2" ht="14.1">
      <c r="A6" s="14" t="s">
        <v>227</v>
      </c>
    </row>
    <row r="7" spans="1:2" ht="14.1">
      <c r="A7" s="12"/>
    </row>
    <row r="8" spans="1:2" ht="27.95">
      <c r="A8" s="12" t="s">
        <v>228</v>
      </c>
    </row>
    <row r="9" spans="1:2" ht="12.6">
      <c r="A9" s="18"/>
    </row>
    <row r="10" spans="1:2" ht="27.95">
      <c r="A10" s="12" t="s">
        <v>229</v>
      </c>
    </row>
    <row r="11" spans="1:2" ht="12.6">
      <c r="A11" s="18"/>
    </row>
    <row r="12" spans="1:2" ht="14.1">
      <c r="A12" s="14" t="s">
        <v>230</v>
      </c>
    </row>
    <row r="13" spans="1:2" ht="14.1">
      <c r="A13" s="15" t="str">
        <f>HYPERLINK("https://www.vertex42.com/licensing/EULA_privateuse.html","https://www.vertex42.com/licensing/EULA_privateuse.html")</f>
        <v>https://www.vertex42.com/licensing/EULA_privateuse.html</v>
      </c>
    </row>
    <row r="14" spans="1:2" ht="14.1">
      <c r="A14" s="12"/>
    </row>
    <row r="15" spans="1:2" ht="14.1">
      <c r="A15" s="12"/>
    </row>
    <row r="16" spans="1:2" ht="14.1">
      <c r="A16" s="12" t="s">
        <v>231</v>
      </c>
    </row>
    <row r="17" spans="1:1" ht="14.1">
      <c r="A17" s="16">
        <v>45108</v>
      </c>
    </row>
    <row r="18" spans="1:1" ht="14.1">
      <c r="A18" s="12"/>
    </row>
    <row r="19" spans="1:1" ht="14.1">
      <c r="A19" s="12" t="s">
        <v>232</v>
      </c>
    </row>
    <row r="20" spans="1:1" ht="14.1">
      <c r="A20" s="17">
        <v>2</v>
      </c>
    </row>
  </sheetData>
  <hyperlinks>
    <hyperlink ref="A4" r:id="rId1" xr:uid="{00000000-0004-0000-1C00-000000000000}"/>
  </hyperlinks>
  <pageMargins left="0.7" right="0.7" top="0.75" bottom="0.75" header="0.3" footer="0.3"/>
  <pageSetup orientation="portrait" r:id="rId2"/>
  <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  <pageSetUpPr fitToPage="1"/>
  </sheetPr>
  <dimension ref="A1:N53"/>
  <sheetViews>
    <sheetView showGridLines="0" topLeftCell="A2" workbookViewId="0"/>
  </sheetViews>
  <sheetFormatPr defaultColWidth="12.5703125" defaultRowHeight="12.75" customHeight="1"/>
  <cols>
    <col min="1" max="1" width="3.85546875" customWidth="1"/>
    <col min="2" max="2" width="13.42578125" customWidth="1"/>
    <col min="3" max="3" width="3.85546875" customWidth="1"/>
    <col min="4" max="4" width="13.42578125" customWidth="1"/>
    <col min="5" max="5" width="3.85546875" customWidth="1"/>
    <col min="6" max="6" width="13.42578125" customWidth="1"/>
    <col min="7" max="7" width="3.85546875" customWidth="1"/>
    <col min="8" max="8" width="13.42578125" customWidth="1"/>
    <col min="9" max="9" width="3.85546875" customWidth="1"/>
    <col min="10" max="10" width="13.42578125" customWidth="1"/>
    <col min="11" max="11" width="3.85546875" customWidth="1"/>
    <col min="12" max="12" width="13.42578125" customWidth="1"/>
    <col min="13" max="13" width="3.85546875" customWidth="1"/>
    <col min="14" max="14" width="13.42578125" customWidth="1"/>
  </cols>
  <sheetData>
    <row r="1" spans="1:14" ht="12.6" hidden="1">
      <c r="A1" s="36">
        <f>'©'!A17</f>
        <v>45108</v>
      </c>
      <c r="B1" s="37"/>
      <c r="C1" s="1"/>
      <c r="D1" s="1"/>
      <c r="E1" s="1"/>
      <c r="F1" s="1"/>
      <c r="G1" s="1"/>
      <c r="H1" s="1"/>
      <c r="I1" s="1"/>
      <c r="J1" s="1"/>
      <c r="K1" s="38" t="s">
        <v>0</v>
      </c>
      <c r="L1" s="37"/>
      <c r="M1" s="37"/>
      <c r="N1" s="37"/>
    </row>
    <row r="2" spans="1:14" ht="18" customHeight="1">
      <c r="A2" s="39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1:14" ht="18" customHeight="1">
      <c r="A3" s="29" t="s">
        <v>2</v>
      </c>
      <c r="B3" s="37"/>
      <c r="C3" s="27" t="s">
        <v>3</v>
      </c>
      <c r="D3" s="37"/>
      <c r="E3" s="19" t="s">
        <v>4</v>
      </c>
      <c r="F3" s="37"/>
      <c r="G3" s="21" t="s">
        <v>5</v>
      </c>
      <c r="H3" s="37"/>
      <c r="I3" s="56" t="s">
        <v>6</v>
      </c>
      <c r="J3" s="37"/>
      <c r="K3" s="23" t="s">
        <v>7</v>
      </c>
      <c r="L3" s="37"/>
      <c r="M3" s="25" t="s">
        <v>8</v>
      </c>
      <c r="N3" s="37"/>
    </row>
    <row r="4" spans="1:14" ht="60.75" customHeight="1">
      <c r="A4" s="42" t="str">
        <f>UPPER(TEXT(A1,"mmmm yyyy"))</f>
        <v>JULY 2023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</row>
    <row r="5" spans="1:14" ht="15" customHeight="1">
      <c r="A5" s="40">
        <f>A14</f>
        <v>45110</v>
      </c>
      <c r="B5" s="41"/>
      <c r="C5" s="40">
        <f>C14</f>
        <v>45111</v>
      </c>
      <c r="D5" s="41"/>
      <c r="E5" s="40">
        <f>E14</f>
        <v>45112</v>
      </c>
      <c r="F5" s="41"/>
      <c r="G5" s="40">
        <f>G14</f>
        <v>45113</v>
      </c>
      <c r="H5" s="41"/>
      <c r="I5" s="40">
        <f>I14</f>
        <v>45114</v>
      </c>
      <c r="J5" s="41"/>
      <c r="K5" s="40">
        <f>K14</f>
        <v>45115</v>
      </c>
      <c r="L5" s="41"/>
      <c r="M5" s="40">
        <f>M14</f>
        <v>45116</v>
      </c>
      <c r="N5" s="41"/>
    </row>
    <row r="6" spans="1:14" ht="18" customHeight="1">
      <c r="A6" s="4" t="str">
        <f>IF(WEEKDAY($A$1,1)=startday,$A$1,"")</f>
        <v/>
      </c>
      <c r="B6" s="5"/>
      <c r="C6" s="4" t="str">
        <f>IF(A6="",IF(WEEKDAY($A$1,1)=MOD(startday,7)+1,$A$1,""),A6+1)</f>
        <v/>
      </c>
      <c r="D6" s="5"/>
      <c r="E6" s="4" t="str">
        <f>IF(C6="",IF(WEEKDAY($A$1,1)=MOD(startday,7)+2,$A$1,""),C6+1)</f>
        <v/>
      </c>
      <c r="F6" s="5"/>
      <c r="G6" s="4" t="str">
        <f>IF(E6="",IF(WEEKDAY($A$1,1)=MOD(startday,7)+3,$A$1,""),E6+1)</f>
        <v/>
      </c>
      <c r="H6" s="5"/>
      <c r="I6" s="4" t="str">
        <f>IF(G6="",IF(WEEKDAY($A$1,1)=MOD(startday,7)+4,$A$1,""),G6+1)</f>
        <v/>
      </c>
      <c r="J6" s="5"/>
      <c r="K6" s="4">
        <f>IF(I6="",IF(WEEKDAY($A$1,1)=MOD(startday,7)+5,$A$1,""),I6+1)</f>
        <v>45108</v>
      </c>
      <c r="L6" s="5"/>
      <c r="M6" s="4">
        <f>IF(K6="",IF(WEEKDAY($A$1,1)=MOD(startday+5,7)+1,$A$1,""),K6+1)</f>
        <v>45109</v>
      </c>
      <c r="N6" s="5"/>
    </row>
    <row r="7" spans="1:14" ht="14.1">
      <c r="A7" s="29"/>
      <c r="B7" s="20"/>
      <c r="C7" s="44"/>
      <c r="D7" s="20"/>
      <c r="E7" s="29" t="s">
        <v>9</v>
      </c>
      <c r="F7" s="20"/>
      <c r="G7" s="44" t="s">
        <v>9</v>
      </c>
      <c r="H7" s="20"/>
      <c r="I7" s="44" t="s">
        <v>10</v>
      </c>
      <c r="J7" s="20"/>
      <c r="K7" s="44" t="s">
        <v>11</v>
      </c>
      <c r="L7" s="20"/>
      <c r="M7" s="44" t="s">
        <v>11</v>
      </c>
      <c r="N7" s="20"/>
    </row>
    <row r="8" spans="1:14" ht="14.1">
      <c r="A8" s="27"/>
      <c r="B8" s="20"/>
      <c r="C8" s="26"/>
      <c r="D8" s="20"/>
      <c r="E8" s="27" t="s">
        <v>12</v>
      </c>
      <c r="F8" s="20"/>
      <c r="G8" s="26" t="s">
        <v>12</v>
      </c>
      <c r="H8" s="20"/>
      <c r="I8" s="26" t="s">
        <v>12</v>
      </c>
      <c r="J8" s="20"/>
      <c r="K8" s="26" t="s">
        <v>12</v>
      </c>
      <c r="L8" s="20"/>
      <c r="M8" s="26" t="s">
        <v>12</v>
      </c>
      <c r="N8" s="20"/>
    </row>
    <row r="9" spans="1:14" ht="14.1">
      <c r="A9" s="19"/>
      <c r="B9" s="20"/>
      <c r="C9" s="35"/>
      <c r="D9" s="20"/>
      <c r="E9" s="19" t="s">
        <v>13</v>
      </c>
      <c r="F9" s="20"/>
      <c r="G9" s="35" t="s">
        <v>13</v>
      </c>
      <c r="H9" s="20"/>
      <c r="I9" s="35" t="s">
        <v>112</v>
      </c>
      <c r="J9" s="20"/>
      <c r="K9" s="35" t="s">
        <v>14</v>
      </c>
      <c r="L9" s="20"/>
      <c r="M9" s="35" t="s">
        <v>14</v>
      </c>
      <c r="N9" s="20"/>
    </row>
    <row r="10" spans="1:14" ht="14.1">
      <c r="A10" s="21"/>
      <c r="B10" s="20"/>
      <c r="C10" s="30"/>
      <c r="D10" s="20"/>
      <c r="E10" s="21" t="s">
        <v>15</v>
      </c>
      <c r="F10" s="20"/>
      <c r="G10" s="30" t="s">
        <v>15</v>
      </c>
      <c r="H10" s="20"/>
      <c r="I10" s="30" t="s">
        <v>15</v>
      </c>
      <c r="J10" s="20"/>
      <c r="K10" s="30" t="s">
        <v>15</v>
      </c>
      <c r="L10" s="20"/>
      <c r="M10" s="30" t="s">
        <v>15</v>
      </c>
      <c r="N10" s="20"/>
    </row>
    <row r="11" spans="1:14" ht="14.1">
      <c r="A11" s="56"/>
      <c r="B11" s="20"/>
      <c r="C11" s="57"/>
      <c r="D11" s="20"/>
      <c r="E11" s="56" t="s">
        <v>16</v>
      </c>
      <c r="F11" s="20"/>
      <c r="G11" s="57" t="s">
        <v>16</v>
      </c>
      <c r="H11" s="20"/>
      <c r="I11" s="57" t="s">
        <v>16</v>
      </c>
      <c r="J11" s="20"/>
      <c r="K11" s="57" t="s">
        <v>16</v>
      </c>
      <c r="L11" s="20"/>
      <c r="M11" s="57" t="s">
        <v>16</v>
      </c>
      <c r="N11" s="20"/>
    </row>
    <row r="12" spans="1:14" ht="14.1">
      <c r="A12" s="23"/>
      <c r="B12" s="20"/>
      <c r="C12" s="22"/>
      <c r="D12" s="20"/>
      <c r="E12" s="23" t="s">
        <v>17</v>
      </c>
      <c r="F12" s="20"/>
      <c r="G12" s="22" t="s">
        <v>233</v>
      </c>
      <c r="H12" s="20"/>
      <c r="I12" s="22" t="s">
        <v>18</v>
      </c>
      <c r="J12" s="20"/>
      <c r="K12" s="22" t="s">
        <v>19</v>
      </c>
      <c r="L12" s="20"/>
      <c r="M12" s="22" t="s">
        <v>19</v>
      </c>
      <c r="N12" s="20"/>
    </row>
    <row r="13" spans="1:14" ht="18" customHeight="1">
      <c r="A13" s="25"/>
      <c r="B13" s="20"/>
      <c r="C13" s="31"/>
      <c r="D13" s="24"/>
      <c r="E13" s="25" t="s">
        <v>20</v>
      </c>
      <c r="F13" s="20"/>
      <c r="G13" s="31" t="s">
        <v>21</v>
      </c>
      <c r="H13" s="24"/>
      <c r="I13" s="31" t="s">
        <v>21</v>
      </c>
      <c r="J13" s="24"/>
      <c r="K13" s="31" t="s">
        <v>21</v>
      </c>
      <c r="L13" s="24"/>
      <c r="M13" s="31" t="s">
        <v>21</v>
      </c>
      <c r="N13" s="24"/>
    </row>
    <row r="14" spans="1:14" ht="18" customHeight="1">
      <c r="A14" s="4">
        <f>M6+1</f>
        <v>45110</v>
      </c>
      <c r="B14" s="5"/>
      <c r="C14" s="4">
        <f>A14+1</f>
        <v>45111</v>
      </c>
      <c r="D14" s="5"/>
      <c r="E14" s="4">
        <f>C14+1</f>
        <v>45112</v>
      </c>
      <c r="F14" s="5"/>
      <c r="G14" s="4">
        <f>E14+1</f>
        <v>45113</v>
      </c>
      <c r="H14" s="5"/>
      <c r="I14" s="4">
        <f>G14+1</f>
        <v>45114</v>
      </c>
      <c r="J14" s="5"/>
      <c r="K14" s="4">
        <f>I14+1</f>
        <v>45115</v>
      </c>
      <c r="L14" s="5"/>
      <c r="M14" s="4">
        <f>K14+1</f>
        <v>45116</v>
      </c>
      <c r="N14" s="5"/>
    </row>
    <row r="15" spans="1:14" ht="14.1">
      <c r="A15" s="29" t="s">
        <v>83</v>
      </c>
      <c r="B15" s="20"/>
      <c r="C15" s="44" t="s">
        <v>11</v>
      </c>
      <c r="D15" s="20"/>
      <c r="E15" s="29" t="s">
        <v>39</v>
      </c>
      <c r="F15" s="20"/>
      <c r="G15" s="44" t="s">
        <v>11</v>
      </c>
      <c r="H15" s="20"/>
      <c r="I15" s="44" t="s">
        <v>105</v>
      </c>
      <c r="J15" s="20"/>
      <c r="K15" s="44" t="s">
        <v>24</v>
      </c>
      <c r="L15" s="20"/>
      <c r="M15" s="44" t="s">
        <v>234</v>
      </c>
      <c r="N15" s="20"/>
    </row>
    <row r="16" spans="1:14" ht="14.1">
      <c r="A16" s="27" t="s">
        <v>25</v>
      </c>
      <c r="B16" s="20"/>
      <c r="C16" s="27" t="s">
        <v>25</v>
      </c>
      <c r="D16" s="20"/>
      <c r="E16" s="27" t="s">
        <v>25</v>
      </c>
      <c r="F16" s="20"/>
      <c r="G16" s="27" t="s">
        <v>25</v>
      </c>
      <c r="H16" s="20"/>
      <c r="I16" s="27" t="s">
        <v>25</v>
      </c>
      <c r="J16" s="20"/>
      <c r="K16" s="27" t="s">
        <v>25</v>
      </c>
      <c r="L16" s="20"/>
      <c r="M16" s="27" t="s">
        <v>25</v>
      </c>
      <c r="N16" s="20"/>
    </row>
    <row r="17" spans="1:14" ht="14.1">
      <c r="A17" s="19" t="s">
        <v>13</v>
      </c>
      <c r="B17" s="20"/>
      <c r="C17" s="35" t="s">
        <v>31</v>
      </c>
      <c r="D17" s="20"/>
      <c r="E17" s="19" t="s">
        <v>9</v>
      </c>
      <c r="F17" s="20"/>
      <c r="G17" s="35" t="s">
        <v>40</v>
      </c>
      <c r="H17" s="20"/>
      <c r="I17" s="35" t="s">
        <v>82</v>
      </c>
      <c r="J17" s="20"/>
      <c r="K17" s="35" t="s">
        <v>40</v>
      </c>
      <c r="L17" s="20"/>
      <c r="M17" s="35" t="s">
        <v>82</v>
      </c>
      <c r="N17" s="20"/>
    </row>
    <row r="18" spans="1:14" ht="14.1">
      <c r="A18" s="21" t="s">
        <v>24</v>
      </c>
      <c r="B18" s="20"/>
      <c r="C18" s="21" t="s">
        <v>24</v>
      </c>
      <c r="D18" s="20"/>
      <c r="E18" s="21" t="s">
        <v>24</v>
      </c>
      <c r="F18" s="20"/>
      <c r="G18" s="21" t="s">
        <v>24</v>
      </c>
      <c r="H18" s="20"/>
      <c r="I18" s="21" t="s">
        <v>24</v>
      </c>
      <c r="J18" s="20"/>
      <c r="K18" s="21" t="s">
        <v>24</v>
      </c>
      <c r="L18" s="20"/>
      <c r="M18" s="21" t="s">
        <v>24</v>
      </c>
      <c r="N18" s="20"/>
    </row>
    <row r="19" spans="1:14" ht="14.1">
      <c r="A19" s="56" t="s">
        <v>13</v>
      </c>
      <c r="B19" s="20"/>
      <c r="C19" s="56" t="s">
        <v>13</v>
      </c>
      <c r="D19" s="20"/>
      <c r="E19" s="56" t="s">
        <v>13</v>
      </c>
      <c r="F19" s="20"/>
      <c r="G19" s="56" t="s">
        <v>13</v>
      </c>
      <c r="H19" s="20"/>
      <c r="I19" s="56" t="s">
        <v>13</v>
      </c>
      <c r="J19" s="20"/>
      <c r="K19" s="56" t="s">
        <v>13</v>
      </c>
      <c r="L19" s="20"/>
      <c r="M19" s="56" t="s">
        <v>13</v>
      </c>
      <c r="N19" s="20"/>
    </row>
    <row r="20" spans="1:14" ht="14.1">
      <c r="A20" s="23" t="s">
        <v>18</v>
      </c>
      <c r="B20" s="20"/>
      <c r="C20" s="23" t="s">
        <v>18</v>
      </c>
      <c r="D20" s="20"/>
      <c r="E20" s="23" t="s">
        <v>17</v>
      </c>
      <c r="F20" s="20"/>
      <c r="G20" s="22" t="s">
        <v>18</v>
      </c>
      <c r="H20" s="20"/>
      <c r="I20" s="22" t="s">
        <v>235</v>
      </c>
      <c r="J20" s="20"/>
      <c r="K20" s="22" t="s">
        <v>36</v>
      </c>
      <c r="L20" s="20"/>
      <c r="M20" s="22" t="s">
        <v>36</v>
      </c>
      <c r="N20" s="20"/>
    </row>
    <row r="21" spans="1:14" ht="18" customHeight="1">
      <c r="A21" s="25" t="s">
        <v>50</v>
      </c>
      <c r="B21" s="20"/>
      <c r="C21" s="25" t="s">
        <v>50</v>
      </c>
      <c r="D21" s="20"/>
      <c r="E21" s="25" t="s">
        <v>50</v>
      </c>
      <c r="F21" s="20"/>
      <c r="G21" s="25" t="s">
        <v>50</v>
      </c>
      <c r="H21" s="20"/>
      <c r="I21" s="25" t="s">
        <v>50</v>
      </c>
      <c r="J21" s="20"/>
      <c r="K21" s="25" t="s">
        <v>50</v>
      </c>
      <c r="L21" s="20"/>
      <c r="M21" s="25" t="s">
        <v>50</v>
      </c>
      <c r="N21" s="20"/>
    </row>
    <row r="22" spans="1:14" ht="18" customHeight="1">
      <c r="A22" s="4">
        <f>M14+1</f>
        <v>45117</v>
      </c>
      <c r="B22" s="5"/>
      <c r="C22" s="4">
        <f>A22+1</f>
        <v>45118</v>
      </c>
      <c r="D22" s="5"/>
      <c r="E22" s="4">
        <f>C22+1</f>
        <v>45119</v>
      </c>
      <c r="F22" s="5"/>
      <c r="G22" s="4">
        <f>E22+1</f>
        <v>45120</v>
      </c>
      <c r="H22" s="5"/>
      <c r="I22" s="4">
        <f>G22+1</f>
        <v>45121</v>
      </c>
      <c r="J22" s="5"/>
      <c r="K22" s="4">
        <f>I22+1</f>
        <v>45122</v>
      </c>
      <c r="L22" s="5"/>
      <c r="M22" s="4">
        <f>K22+1</f>
        <v>45123</v>
      </c>
      <c r="N22" s="5"/>
    </row>
    <row r="23" spans="1:14" ht="14.1">
      <c r="A23" s="29" t="s">
        <v>85</v>
      </c>
      <c r="B23" s="20"/>
      <c r="C23" s="44" t="s">
        <v>24</v>
      </c>
      <c r="D23" s="20"/>
      <c r="E23" s="29" t="s">
        <v>135</v>
      </c>
      <c r="F23" s="20"/>
      <c r="G23" s="44" t="s">
        <v>24</v>
      </c>
      <c r="H23" s="20"/>
      <c r="I23" s="44" t="s">
        <v>49</v>
      </c>
      <c r="J23" s="20"/>
      <c r="K23" s="44" t="s">
        <v>50</v>
      </c>
      <c r="L23" s="20"/>
      <c r="M23" s="44" t="s">
        <v>50</v>
      </c>
      <c r="N23" s="20"/>
    </row>
    <row r="24" spans="1:14" ht="14.1">
      <c r="A24" s="27" t="s">
        <v>59</v>
      </c>
      <c r="B24" s="20"/>
      <c r="C24" s="27" t="s">
        <v>59</v>
      </c>
      <c r="D24" s="20"/>
      <c r="E24" s="27" t="s">
        <v>59</v>
      </c>
      <c r="F24" s="20"/>
      <c r="G24" s="27" t="s">
        <v>59</v>
      </c>
      <c r="H24" s="20"/>
      <c r="I24" s="27" t="s">
        <v>59</v>
      </c>
      <c r="J24" s="20"/>
      <c r="K24" s="27" t="s">
        <v>59</v>
      </c>
      <c r="L24" s="20"/>
      <c r="M24" s="27" t="s">
        <v>59</v>
      </c>
      <c r="N24" s="20"/>
    </row>
    <row r="25" spans="1:14" ht="14.1">
      <c r="A25" s="19" t="s">
        <v>9</v>
      </c>
      <c r="B25" s="20"/>
      <c r="C25" s="35" t="s">
        <v>31</v>
      </c>
      <c r="D25" s="20"/>
      <c r="E25" s="19" t="s">
        <v>53</v>
      </c>
      <c r="F25" s="20"/>
      <c r="G25" s="35" t="s">
        <v>31</v>
      </c>
      <c r="H25" s="20"/>
      <c r="I25" s="35" t="s">
        <v>11</v>
      </c>
      <c r="J25" s="20"/>
      <c r="K25" s="35" t="s">
        <v>10</v>
      </c>
      <c r="L25" s="20"/>
      <c r="M25" s="35" t="s">
        <v>218</v>
      </c>
      <c r="N25" s="20"/>
    </row>
    <row r="26" spans="1:14" ht="14.1">
      <c r="A26" s="21" t="s">
        <v>15</v>
      </c>
      <c r="B26" s="20"/>
      <c r="C26" s="21" t="s">
        <v>15</v>
      </c>
      <c r="D26" s="20"/>
      <c r="E26" s="21" t="s">
        <v>15</v>
      </c>
      <c r="F26" s="20"/>
      <c r="G26" s="21" t="s">
        <v>15</v>
      </c>
      <c r="H26" s="20"/>
      <c r="I26" s="21" t="s">
        <v>15</v>
      </c>
      <c r="J26" s="20"/>
      <c r="K26" s="21" t="s">
        <v>15</v>
      </c>
      <c r="L26" s="20"/>
      <c r="M26" s="21" t="s">
        <v>15</v>
      </c>
      <c r="N26" s="20"/>
    </row>
    <row r="27" spans="1:14" ht="14.1">
      <c r="A27" s="56" t="s">
        <v>25</v>
      </c>
      <c r="B27" s="20"/>
      <c r="C27" s="56" t="s">
        <v>25</v>
      </c>
      <c r="D27" s="20"/>
      <c r="E27" s="56" t="s">
        <v>25</v>
      </c>
      <c r="F27" s="20"/>
      <c r="G27" s="56" t="s">
        <v>25</v>
      </c>
      <c r="H27" s="20"/>
      <c r="I27" s="56" t="s">
        <v>25</v>
      </c>
      <c r="J27" s="20"/>
      <c r="K27" s="56" t="s">
        <v>25</v>
      </c>
      <c r="L27" s="20"/>
      <c r="M27" s="56" t="s">
        <v>25</v>
      </c>
      <c r="N27" s="20"/>
    </row>
    <row r="28" spans="1:14" ht="14.1">
      <c r="A28" s="23" t="s">
        <v>18</v>
      </c>
      <c r="B28" s="20"/>
      <c r="C28" s="23" t="s">
        <v>18</v>
      </c>
      <c r="D28" s="20"/>
      <c r="E28" s="23" t="s">
        <v>26</v>
      </c>
      <c r="F28" s="20"/>
      <c r="G28" s="22" t="s">
        <v>18</v>
      </c>
      <c r="H28" s="20"/>
      <c r="I28" s="22" t="s">
        <v>26</v>
      </c>
      <c r="J28" s="20"/>
      <c r="K28" s="22" t="s">
        <v>26</v>
      </c>
      <c r="L28" s="20"/>
      <c r="M28" s="22" t="s">
        <v>26</v>
      </c>
      <c r="N28" s="20"/>
    </row>
    <row r="29" spans="1:14" ht="18" customHeight="1">
      <c r="A29" s="25" t="s">
        <v>30</v>
      </c>
      <c r="B29" s="20"/>
      <c r="C29" s="25" t="s">
        <v>30</v>
      </c>
      <c r="D29" s="20"/>
      <c r="E29" s="25" t="s">
        <v>236</v>
      </c>
      <c r="F29" s="20"/>
      <c r="G29" s="25" t="s">
        <v>30</v>
      </c>
      <c r="H29" s="20"/>
      <c r="I29" s="25" t="s">
        <v>236</v>
      </c>
      <c r="J29" s="20"/>
      <c r="K29" s="25" t="s">
        <v>41</v>
      </c>
      <c r="L29" s="20"/>
      <c r="M29" s="25" t="s">
        <v>41</v>
      </c>
      <c r="N29" s="20"/>
    </row>
    <row r="30" spans="1:14" ht="18" customHeight="1">
      <c r="A30" s="4">
        <f>M22+1</f>
        <v>45124</v>
      </c>
      <c r="B30" s="5"/>
      <c r="C30" s="4">
        <f>A30+1</f>
        <v>45125</v>
      </c>
      <c r="D30" s="5"/>
      <c r="E30" s="4">
        <f>C30+1</f>
        <v>45126</v>
      </c>
      <c r="F30" s="5"/>
      <c r="G30" s="4">
        <f>E30+1</f>
        <v>45127</v>
      </c>
      <c r="H30" s="5"/>
      <c r="I30" s="4">
        <f>G30+1</f>
        <v>45128</v>
      </c>
      <c r="J30" s="5"/>
      <c r="K30" s="4">
        <f>I30+1</f>
        <v>45129</v>
      </c>
      <c r="L30" s="5"/>
      <c r="M30" s="4">
        <f>K30+1</f>
        <v>45130</v>
      </c>
      <c r="N30" s="5"/>
    </row>
    <row r="31" spans="1:14" ht="14.1">
      <c r="A31" s="29" t="s">
        <v>93</v>
      </c>
      <c r="B31" s="20"/>
      <c r="C31" s="44" t="s">
        <v>50</v>
      </c>
      <c r="D31" s="20"/>
      <c r="E31" s="44" t="s">
        <v>50</v>
      </c>
      <c r="F31" s="20"/>
      <c r="G31" s="44" t="s">
        <v>50</v>
      </c>
      <c r="H31" s="20"/>
      <c r="I31" s="44" t="s">
        <v>9</v>
      </c>
      <c r="J31" s="20"/>
      <c r="K31" s="44" t="s">
        <v>9</v>
      </c>
      <c r="L31" s="20"/>
      <c r="M31" s="44" t="s">
        <v>9</v>
      </c>
      <c r="N31" s="20"/>
    </row>
    <row r="32" spans="1:14" ht="14.1">
      <c r="A32" s="27" t="s">
        <v>42</v>
      </c>
      <c r="B32" s="20"/>
      <c r="C32" s="27" t="s">
        <v>42</v>
      </c>
      <c r="D32" s="20"/>
      <c r="E32" s="27" t="s">
        <v>42</v>
      </c>
      <c r="F32" s="20"/>
      <c r="G32" s="27" t="s">
        <v>42</v>
      </c>
      <c r="H32" s="20"/>
      <c r="I32" s="27" t="s">
        <v>42</v>
      </c>
      <c r="J32" s="20"/>
      <c r="K32" s="27" t="s">
        <v>42</v>
      </c>
      <c r="L32" s="20"/>
      <c r="M32" s="27" t="s">
        <v>42</v>
      </c>
      <c r="N32" s="20"/>
    </row>
    <row r="33" spans="1:14" ht="14.1">
      <c r="A33" s="19" t="s">
        <v>9</v>
      </c>
      <c r="B33" s="20"/>
      <c r="C33" s="35" t="s">
        <v>9</v>
      </c>
      <c r="D33" s="20"/>
      <c r="E33" s="19" t="s">
        <v>9</v>
      </c>
      <c r="F33" s="20"/>
      <c r="G33" s="35" t="s">
        <v>9</v>
      </c>
      <c r="H33" s="20"/>
      <c r="I33" s="35" t="s">
        <v>13</v>
      </c>
      <c r="J33" s="20"/>
      <c r="K33" s="35" t="s">
        <v>55</v>
      </c>
      <c r="L33" s="20"/>
      <c r="M33" s="35" t="s">
        <v>55</v>
      </c>
      <c r="N33" s="20"/>
    </row>
    <row r="34" spans="1:14" ht="14.1">
      <c r="A34" s="21" t="s">
        <v>24</v>
      </c>
      <c r="B34" s="20"/>
      <c r="C34" s="21" t="s">
        <v>24</v>
      </c>
      <c r="D34" s="20"/>
      <c r="E34" s="21" t="s">
        <v>24</v>
      </c>
      <c r="F34" s="20"/>
      <c r="G34" s="21" t="s">
        <v>24</v>
      </c>
      <c r="H34" s="20"/>
      <c r="I34" s="21" t="s">
        <v>24</v>
      </c>
      <c r="J34" s="20"/>
      <c r="K34" s="21" t="s">
        <v>24</v>
      </c>
      <c r="L34" s="20"/>
      <c r="M34" s="21" t="s">
        <v>24</v>
      </c>
      <c r="N34" s="20"/>
    </row>
    <row r="35" spans="1:14" ht="14.1">
      <c r="A35" s="56" t="s">
        <v>25</v>
      </c>
      <c r="B35" s="20"/>
      <c r="C35" s="57" t="s">
        <v>43</v>
      </c>
      <c r="D35" s="20"/>
      <c r="E35" s="57" t="s">
        <v>43</v>
      </c>
      <c r="F35" s="20"/>
      <c r="G35" s="57" t="s">
        <v>43</v>
      </c>
      <c r="H35" s="20"/>
      <c r="I35" s="57" t="s">
        <v>43</v>
      </c>
      <c r="J35" s="20"/>
      <c r="K35" s="57" t="s">
        <v>43</v>
      </c>
      <c r="L35" s="20"/>
      <c r="M35" s="57" t="s">
        <v>43</v>
      </c>
      <c r="N35" s="20"/>
    </row>
    <row r="36" spans="1:14" ht="14.1">
      <c r="A36" s="23" t="s">
        <v>17</v>
      </c>
      <c r="B36" s="20"/>
      <c r="C36" s="23" t="s">
        <v>17</v>
      </c>
      <c r="D36" s="20"/>
      <c r="E36" s="23" t="s">
        <v>17</v>
      </c>
      <c r="F36" s="20"/>
      <c r="G36" s="23" t="s">
        <v>17</v>
      </c>
      <c r="H36" s="20"/>
      <c r="I36" s="22" t="s">
        <v>17</v>
      </c>
      <c r="J36" s="20"/>
      <c r="K36" s="22" t="s">
        <v>17</v>
      </c>
      <c r="L36" s="20"/>
      <c r="M36" s="22" t="s">
        <v>17</v>
      </c>
      <c r="N36" s="20"/>
    </row>
    <row r="37" spans="1:14" ht="18" customHeight="1">
      <c r="A37" s="25" t="s">
        <v>236</v>
      </c>
      <c r="B37" s="20"/>
      <c r="C37" s="31" t="s">
        <v>236</v>
      </c>
      <c r="D37" s="24"/>
      <c r="E37" s="31" t="s">
        <v>236</v>
      </c>
      <c r="F37" s="24"/>
      <c r="G37" s="31" t="s">
        <v>236</v>
      </c>
      <c r="H37" s="24"/>
      <c r="I37" s="31" t="s">
        <v>237</v>
      </c>
      <c r="J37" s="24"/>
      <c r="K37" s="31" t="s">
        <v>74</v>
      </c>
      <c r="L37" s="24"/>
      <c r="M37" s="31" t="s">
        <v>74</v>
      </c>
      <c r="N37" s="24"/>
    </row>
    <row r="38" spans="1:14" ht="18" customHeight="1">
      <c r="A38" s="4">
        <f>IF(M30="","",IF(MONTH(M30+1)&lt;&gt;MONTH($A$1),"",M30+1))</f>
        <v>45131</v>
      </c>
      <c r="B38" s="5"/>
      <c r="C38" s="4">
        <f>IF(A38="","",IF(MONTH(A38+1)&lt;&gt;MONTH($A$1),"",A38+1))</f>
        <v>45132</v>
      </c>
      <c r="D38" s="5"/>
      <c r="E38" s="4">
        <f>IF(C38="","",IF(MONTH(C38+1)&lt;&gt;MONTH($A$1),"",C38+1))</f>
        <v>45133</v>
      </c>
      <c r="F38" s="5"/>
      <c r="G38" s="4">
        <f>IF(E38="","",IF(MONTH(E38+1)&lt;&gt;MONTH($A$1),"",E38+1))</f>
        <v>45134</v>
      </c>
      <c r="H38" s="5"/>
      <c r="I38" s="4">
        <f>IF(G38="","",IF(MONTH(G38+1)&lt;&gt;MONTH($A$1),"",G38+1))</f>
        <v>45135</v>
      </c>
      <c r="J38" s="5"/>
      <c r="K38" s="4">
        <f>IF(I38="","",IF(MONTH(I38+1)&lt;&gt;MONTH($A$1),"",I38+1))</f>
        <v>45136</v>
      </c>
      <c r="L38" s="5"/>
      <c r="M38" s="4">
        <f>IF(K38="","",IF(MONTH(K38+1)&lt;&gt;MONTH($A$1),"",K38+1))</f>
        <v>45137</v>
      </c>
      <c r="N38" s="5"/>
    </row>
    <row r="39" spans="1:14" ht="14.1">
      <c r="A39" s="29" t="s">
        <v>53</v>
      </c>
      <c r="B39" s="20"/>
      <c r="C39" s="44" t="s">
        <v>9</v>
      </c>
      <c r="D39" s="20"/>
      <c r="E39" s="29" t="s">
        <v>31</v>
      </c>
      <c r="F39" s="20"/>
      <c r="G39" s="44" t="s">
        <v>9</v>
      </c>
      <c r="H39" s="20"/>
      <c r="I39" s="44" t="s">
        <v>10</v>
      </c>
      <c r="J39" s="20"/>
      <c r="K39" s="44"/>
      <c r="L39" s="20"/>
      <c r="M39" s="44"/>
      <c r="N39" s="20"/>
    </row>
    <row r="40" spans="1:14" ht="14.1">
      <c r="A40" s="27" t="s">
        <v>16</v>
      </c>
      <c r="B40" s="20"/>
      <c r="C40" s="27" t="s">
        <v>16</v>
      </c>
      <c r="D40" s="20"/>
      <c r="E40" s="27" t="s">
        <v>16</v>
      </c>
      <c r="F40" s="20"/>
      <c r="G40" s="27" t="s">
        <v>16</v>
      </c>
      <c r="H40" s="20"/>
      <c r="I40" s="27" t="s">
        <v>16</v>
      </c>
      <c r="J40" s="20"/>
      <c r="K40" s="26"/>
      <c r="L40" s="20"/>
      <c r="M40" s="26"/>
      <c r="N40" s="20"/>
    </row>
    <row r="41" spans="1:14" ht="14.1">
      <c r="A41" s="19" t="s">
        <v>112</v>
      </c>
      <c r="B41" s="20"/>
      <c r="C41" s="35" t="s">
        <v>13</v>
      </c>
      <c r="D41" s="20"/>
      <c r="E41" s="19" t="s">
        <v>14</v>
      </c>
      <c r="F41" s="20"/>
      <c r="G41" s="35" t="s">
        <v>13</v>
      </c>
      <c r="H41" s="20"/>
      <c r="I41" s="35" t="s">
        <v>13</v>
      </c>
      <c r="J41" s="20"/>
      <c r="K41" s="35"/>
      <c r="L41" s="20"/>
      <c r="M41" s="35"/>
      <c r="N41" s="20"/>
    </row>
    <row r="42" spans="1:14" ht="14.1">
      <c r="A42" s="21" t="s">
        <v>15</v>
      </c>
      <c r="B42" s="20"/>
      <c r="C42" s="21" t="s">
        <v>15</v>
      </c>
      <c r="D42" s="20"/>
      <c r="E42" s="21" t="s">
        <v>15</v>
      </c>
      <c r="F42" s="20"/>
      <c r="G42" s="21" t="s">
        <v>15</v>
      </c>
      <c r="H42" s="20"/>
      <c r="I42" s="21" t="s">
        <v>15</v>
      </c>
      <c r="J42" s="20"/>
      <c r="K42" s="30"/>
      <c r="L42" s="20"/>
      <c r="M42" s="30"/>
      <c r="N42" s="20"/>
    </row>
    <row r="43" spans="1:14" ht="14.1">
      <c r="A43" s="56" t="s">
        <v>25</v>
      </c>
      <c r="B43" s="20"/>
      <c r="C43" s="56" t="s">
        <v>25</v>
      </c>
      <c r="D43" s="20"/>
      <c r="E43" s="56" t="s">
        <v>25</v>
      </c>
      <c r="F43" s="20"/>
      <c r="G43" s="56" t="s">
        <v>25</v>
      </c>
      <c r="H43" s="20"/>
      <c r="I43" s="56" t="s">
        <v>25</v>
      </c>
      <c r="J43" s="20"/>
      <c r="K43" s="57"/>
      <c r="L43" s="20"/>
      <c r="M43" s="57"/>
      <c r="N43" s="20"/>
    </row>
    <row r="44" spans="1:14" ht="14.1">
      <c r="A44" s="23" t="s">
        <v>235</v>
      </c>
      <c r="B44" s="20"/>
      <c r="C44" s="22" t="s">
        <v>238</v>
      </c>
      <c r="D44" s="20"/>
      <c r="E44" s="23" t="s">
        <v>235</v>
      </c>
      <c r="F44" s="20"/>
      <c r="G44" s="22" t="s">
        <v>238</v>
      </c>
      <c r="H44" s="20"/>
      <c r="I44" s="22" t="s">
        <v>235</v>
      </c>
      <c r="J44" s="20"/>
      <c r="K44" s="22"/>
      <c r="L44" s="20"/>
      <c r="M44" s="22"/>
      <c r="N44" s="20"/>
    </row>
    <row r="45" spans="1:14" ht="18" customHeight="1">
      <c r="A45" s="25" t="s">
        <v>50</v>
      </c>
      <c r="B45" s="20"/>
      <c r="C45" s="25" t="s">
        <v>50</v>
      </c>
      <c r="D45" s="20"/>
      <c r="E45" s="25" t="s">
        <v>50</v>
      </c>
      <c r="F45" s="20"/>
      <c r="G45" s="25" t="s">
        <v>50</v>
      </c>
      <c r="H45" s="20"/>
      <c r="I45" s="25" t="s">
        <v>50</v>
      </c>
      <c r="J45" s="20"/>
      <c r="K45" s="31"/>
      <c r="L45" s="24"/>
      <c r="M45" s="31"/>
      <c r="N45" s="24"/>
    </row>
    <row r="46" spans="1:14" ht="18" customHeight="1">
      <c r="A46" s="2">
        <f>IF(M38="","",IF(MONTH(M38+1)&lt;&gt;MONTH($A$1),"",M38+1))</f>
        <v>45138</v>
      </c>
      <c r="B46" s="3"/>
      <c r="C46" s="2" t="str">
        <f>IF(A46="","",IF(MONTH(A46+1)&lt;&gt;MONTH($A$1),"",A46+1))</f>
        <v/>
      </c>
      <c r="D46" s="3"/>
      <c r="E46" s="46" t="s">
        <v>22</v>
      </c>
      <c r="F46" s="47"/>
      <c r="G46" s="48"/>
      <c r="H46" s="47"/>
      <c r="I46" s="47"/>
      <c r="J46" s="47"/>
      <c r="K46" s="47"/>
      <c r="L46" s="47"/>
      <c r="M46" s="47"/>
      <c r="N46" s="49"/>
    </row>
    <row r="47" spans="1:14" ht="14.1">
      <c r="A47" s="29"/>
      <c r="B47" s="20"/>
      <c r="C47" s="44"/>
      <c r="D47" s="20"/>
      <c r="E47" s="45"/>
      <c r="F47" s="37"/>
      <c r="G47" s="37"/>
      <c r="H47" s="37"/>
      <c r="I47" s="37"/>
      <c r="J47" s="37"/>
      <c r="K47" s="37"/>
      <c r="L47" s="37"/>
      <c r="M47" s="37"/>
      <c r="N47" s="20"/>
    </row>
    <row r="48" spans="1:14" ht="14.1">
      <c r="A48" s="27"/>
      <c r="B48" s="20"/>
      <c r="C48" s="26"/>
      <c r="D48" s="20"/>
      <c r="E48" s="45"/>
      <c r="F48" s="37"/>
      <c r="G48" s="37"/>
      <c r="H48" s="37"/>
      <c r="I48" s="37"/>
      <c r="J48" s="37"/>
      <c r="K48" s="37"/>
      <c r="L48" s="37"/>
      <c r="M48" s="37"/>
      <c r="N48" s="20"/>
    </row>
    <row r="49" spans="1:14" ht="14.1">
      <c r="A49" s="19"/>
      <c r="B49" s="20"/>
      <c r="C49" s="35"/>
      <c r="D49" s="20"/>
      <c r="E49" s="45"/>
      <c r="F49" s="37"/>
      <c r="G49" s="37"/>
      <c r="H49" s="37"/>
      <c r="I49" s="37"/>
      <c r="J49" s="37"/>
      <c r="K49" s="37"/>
      <c r="L49" s="37"/>
      <c r="M49" s="37"/>
      <c r="N49" s="20"/>
    </row>
    <row r="50" spans="1:14" ht="14.1">
      <c r="A50" s="21"/>
      <c r="B50" s="20"/>
      <c r="C50" s="30"/>
      <c r="D50" s="20"/>
      <c r="E50" s="6"/>
      <c r="F50" s="7"/>
      <c r="G50" s="7"/>
      <c r="H50" s="7"/>
      <c r="I50" s="7"/>
      <c r="J50" s="7"/>
      <c r="K50" s="7"/>
      <c r="L50" s="7"/>
      <c r="M50" s="7"/>
      <c r="N50" s="8"/>
    </row>
    <row r="51" spans="1:14" ht="14.1">
      <c r="A51" s="56"/>
      <c r="B51" s="20"/>
      <c r="C51" s="57"/>
      <c r="D51" s="20"/>
      <c r="E51" s="6"/>
      <c r="F51" s="7"/>
      <c r="G51" s="7"/>
      <c r="H51" s="7"/>
      <c r="I51" s="7"/>
      <c r="J51" s="7"/>
      <c r="K51" s="7"/>
      <c r="L51" s="7"/>
      <c r="M51" s="7"/>
      <c r="N51" s="8"/>
    </row>
    <row r="52" spans="1:14" ht="14.1">
      <c r="A52" s="23"/>
      <c r="B52" s="20"/>
      <c r="C52" s="22"/>
      <c r="D52" s="20"/>
      <c r="E52" s="6"/>
      <c r="F52" s="7"/>
      <c r="G52" s="7"/>
      <c r="H52" s="7"/>
      <c r="I52" s="7"/>
      <c r="J52" s="7"/>
      <c r="K52" s="7"/>
      <c r="L52" s="7"/>
      <c r="M52" s="7"/>
      <c r="N52" s="8"/>
    </row>
    <row r="53" spans="1:14" ht="14.1">
      <c r="A53" s="25"/>
      <c r="B53" s="20"/>
      <c r="C53" s="31"/>
      <c r="D53" s="24"/>
      <c r="E53" s="32" t="s">
        <v>23</v>
      </c>
      <c r="F53" s="33"/>
      <c r="G53" s="33"/>
      <c r="H53" s="33"/>
      <c r="I53" s="34" t="str">
        <f>HYPERLINK("https://www.vertex42.com/calendars/academic-calendar.html","https://www.vertex42.com/calendars/academic-calendar.html")</f>
        <v>https://www.vertex42.com/calendars/academic-calendar.html</v>
      </c>
      <c r="J53" s="33"/>
      <c r="K53" s="33"/>
      <c r="L53" s="33"/>
      <c r="M53" s="33"/>
      <c r="N53" s="24"/>
    </row>
  </sheetData>
  <mergeCells count="284">
    <mergeCell ref="A51:B51"/>
    <mergeCell ref="A52:B52"/>
    <mergeCell ref="C52:D52"/>
    <mergeCell ref="A53:B53"/>
    <mergeCell ref="C53:D53"/>
    <mergeCell ref="E53:H53"/>
    <mergeCell ref="I53:N53"/>
    <mergeCell ref="A48:B48"/>
    <mergeCell ref="A49:B49"/>
    <mergeCell ref="C49:D49"/>
    <mergeCell ref="E49:N49"/>
    <mergeCell ref="A50:B50"/>
    <mergeCell ref="C50:D50"/>
    <mergeCell ref="C51:D51"/>
    <mergeCell ref="A43:B43"/>
    <mergeCell ref="C43:D43"/>
    <mergeCell ref="E43:F43"/>
    <mergeCell ref="G43:H43"/>
    <mergeCell ref="I43:J43"/>
    <mergeCell ref="K43:L43"/>
    <mergeCell ref="M43:N43"/>
    <mergeCell ref="A44:B44"/>
    <mergeCell ref="C44:D44"/>
    <mergeCell ref="E44:F44"/>
    <mergeCell ref="G44:H44"/>
    <mergeCell ref="I44:J44"/>
    <mergeCell ref="K44:L44"/>
    <mergeCell ref="M44:N44"/>
    <mergeCell ref="K41:L41"/>
    <mergeCell ref="M41:N41"/>
    <mergeCell ref="A42:B42"/>
    <mergeCell ref="C42:D42"/>
    <mergeCell ref="E42:F42"/>
    <mergeCell ref="G42:H42"/>
    <mergeCell ref="I42:J42"/>
    <mergeCell ref="K42:L42"/>
    <mergeCell ref="M42:N42"/>
    <mergeCell ref="A47:B47"/>
    <mergeCell ref="C47:D47"/>
    <mergeCell ref="E47:N47"/>
    <mergeCell ref="C48:D48"/>
    <mergeCell ref="E48:N48"/>
    <mergeCell ref="A39:B39"/>
    <mergeCell ref="C39:D39"/>
    <mergeCell ref="E39:F39"/>
    <mergeCell ref="G39:H39"/>
    <mergeCell ref="I39:J39"/>
    <mergeCell ref="K39:L39"/>
    <mergeCell ref="M39:N39"/>
    <mergeCell ref="A40:B40"/>
    <mergeCell ref="C40:D40"/>
    <mergeCell ref="E40:F40"/>
    <mergeCell ref="G40:H40"/>
    <mergeCell ref="I40:J40"/>
    <mergeCell ref="K40:L40"/>
    <mergeCell ref="M40:N40"/>
    <mergeCell ref="A41:B41"/>
    <mergeCell ref="C41:D41"/>
    <mergeCell ref="E41:F41"/>
    <mergeCell ref="G41:H41"/>
    <mergeCell ref="I41:J41"/>
    <mergeCell ref="A45:B45"/>
    <mergeCell ref="C45:D45"/>
    <mergeCell ref="E45:F45"/>
    <mergeCell ref="G45:H45"/>
    <mergeCell ref="I45:J45"/>
    <mergeCell ref="K45:L45"/>
    <mergeCell ref="M45:N45"/>
    <mergeCell ref="E46:F46"/>
    <mergeCell ref="G46:N46"/>
    <mergeCell ref="A36:B36"/>
    <mergeCell ref="C36:D36"/>
    <mergeCell ref="E36:F36"/>
    <mergeCell ref="G36:H36"/>
    <mergeCell ref="I36:J36"/>
    <mergeCell ref="K36:L36"/>
    <mergeCell ref="M36:N36"/>
    <mergeCell ref="A37:B37"/>
    <mergeCell ref="C37:D37"/>
    <mergeCell ref="E37:F37"/>
    <mergeCell ref="G37:H37"/>
    <mergeCell ref="I37:J37"/>
    <mergeCell ref="K37:L37"/>
    <mergeCell ref="M37:N37"/>
    <mergeCell ref="A34:B34"/>
    <mergeCell ref="C34:D34"/>
    <mergeCell ref="E34:F34"/>
    <mergeCell ref="G34:H34"/>
    <mergeCell ref="I34:J34"/>
    <mergeCell ref="K34:L34"/>
    <mergeCell ref="M34:N34"/>
    <mergeCell ref="A35:B35"/>
    <mergeCell ref="C35:D35"/>
    <mergeCell ref="E35:F35"/>
    <mergeCell ref="G35:H35"/>
    <mergeCell ref="I35:J35"/>
    <mergeCell ref="K35:L35"/>
    <mergeCell ref="M35:N35"/>
    <mergeCell ref="A32:B32"/>
    <mergeCell ref="C32:D32"/>
    <mergeCell ref="E32:F32"/>
    <mergeCell ref="G32:H32"/>
    <mergeCell ref="I32:J32"/>
    <mergeCell ref="K32:L32"/>
    <mergeCell ref="M32:N32"/>
    <mergeCell ref="A33:B33"/>
    <mergeCell ref="C33:D33"/>
    <mergeCell ref="E33:F33"/>
    <mergeCell ref="G33:H33"/>
    <mergeCell ref="I33:J33"/>
    <mergeCell ref="K33:L33"/>
    <mergeCell ref="M33:N33"/>
    <mergeCell ref="A29:B29"/>
    <mergeCell ref="C29:D29"/>
    <mergeCell ref="E29:F29"/>
    <mergeCell ref="G29:H29"/>
    <mergeCell ref="I29:J29"/>
    <mergeCell ref="K29:L29"/>
    <mergeCell ref="M29:N29"/>
    <mergeCell ref="A31:B31"/>
    <mergeCell ref="C31:D31"/>
    <mergeCell ref="E31:F31"/>
    <mergeCell ref="G31:H31"/>
    <mergeCell ref="I31:J31"/>
    <mergeCell ref="K31:L31"/>
    <mergeCell ref="M31:N31"/>
    <mergeCell ref="A27:B27"/>
    <mergeCell ref="C27:D27"/>
    <mergeCell ref="E27:F27"/>
    <mergeCell ref="G27:H27"/>
    <mergeCell ref="I27:J27"/>
    <mergeCell ref="K27:L27"/>
    <mergeCell ref="M27:N27"/>
    <mergeCell ref="A28:B28"/>
    <mergeCell ref="C28:D28"/>
    <mergeCell ref="E28:F28"/>
    <mergeCell ref="G28:H28"/>
    <mergeCell ref="I28:J28"/>
    <mergeCell ref="K28:L28"/>
    <mergeCell ref="M28:N28"/>
    <mergeCell ref="A25:B25"/>
    <mergeCell ref="C25:D25"/>
    <mergeCell ref="E25:F25"/>
    <mergeCell ref="G25:H25"/>
    <mergeCell ref="I25:J25"/>
    <mergeCell ref="K25:L25"/>
    <mergeCell ref="M25:N25"/>
    <mergeCell ref="A26:B26"/>
    <mergeCell ref="C26:D26"/>
    <mergeCell ref="E26:F26"/>
    <mergeCell ref="G26:H26"/>
    <mergeCell ref="I26:J26"/>
    <mergeCell ref="K26:L26"/>
    <mergeCell ref="M26:N26"/>
    <mergeCell ref="A23:B23"/>
    <mergeCell ref="C23:D23"/>
    <mergeCell ref="E23:F23"/>
    <mergeCell ref="G23:H23"/>
    <mergeCell ref="I23:J23"/>
    <mergeCell ref="K23:L23"/>
    <mergeCell ref="M23:N23"/>
    <mergeCell ref="A24:B24"/>
    <mergeCell ref="C24:D24"/>
    <mergeCell ref="E24:F24"/>
    <mergeCell ref="G24:H24"/>
    <mergeCell ref="I24:J24"/>
    <mergeCell ref="K24:L24"/>
    <mergeCell ref="M24:N24"/>
    <mergeCell ref="A20:B20"/>
    <mergeCell ref="C20:D20"/>
    <mergeCell ref="E20:F20"/>
    <mergeCell ref="G20:H20"/>
    <mergeCell ref="I20:J20"/>
    <mergeCell ref="K20:L20"/>
    <mergeCell ref="M20:N20"/>
    <mergeCell ref="A21:B21"/>
    <mergeCell ref="C21:D21"/>
    <mergeCell ref="E21:F21"/>
    <mergeCell ref="G21:H21"/>
    <mergeCell ref="I21:J21"/>
    <mergeCell ref="K21:L21"/>
    <mergeCell ref="M21:N21"/>
    <mergeCell ref="A18:B18"/>
    <mergeCell ref="C18:D18"/>
    <mergeCell ref="E18:F18"/>
    <mergeCell ref="G18:H18"/>
    <mergeCell ref="I18:J18"/>
    <mergeCell ref="K18:L18"/>
    <mergeCell ref="M18:N18"/>
    <mergeCell ref="A19:B19"/>
    <mergeCell ref="C19:D19"/>
    <mergeCell ref="E19:F19"/>
    <mergeCell ref="G19:H19"/>
    <mergeCell ref="I19:J19"/>
    <mergeCell ref="K19:L19"/>
    <mergeCell ref="M19:N19"/>
    <mergeCell ref="A16:B16"/>
    <mergeCell ref="C16:D16"/>
    <mergeCell ref="E16:F16"/>
    <mergeCell ref="G16:H16"/>
    <mergeCell ref="I16:J16"/>
    <mergeCell ref="K16:L16"/>
    <mergeCell ref="M16:N16"/>
    <mergeCell ref="A17:B17"/>
    <mergeCell ref="C17:D17"/>
    <mergeCell ref="E17:F17"/>
    <mergeCell ref="G17:H17"/>
    <mergeCell ref="I17:J17"/>
    <mergeCell ref="K17:L17"/>
    <mergeCell ref="M17:N17"/>
    <mergeCell ref="A13:B13"/>
    <mergeCell ref="C13:D13"/>
    <mergeCell ref="E13:F13"/>
    <mergeCell ref="G13:H13"/>
    <mergeCell ref="I13:J13"/>
    <mergeCell ref="K13:L13"/>
    <mergeCell ref="M13:N13"/>
    <mergeCell ref="A15:B15"/>
    <mergeCell ref="C15:D15"/>
    <mergeCell ref="E15:F15"/>
    <mergeCell ref="G15:H15"/>
    <mergeCell ref="I15:J15"/>
    <mergeCell ref="K15:L15"/>
    <mergeCell ref="M15:N15"/>
    <mergeCell ref="K3:L3"/>
    <mergeCell ref="A7:B7"/>
    <mergeCell ref="C7:D7"/>
    <mergeCell ref="E7:F7"/>
    <mergeCell ref="G7:H7"/>
    <mergeCell ref="I7:J7"/>
    <mergeCell ref="K7:L7"/>
    <mergeCell ref="M7:N7"/>
    <mergeCell ref="A8:B8"/>
    <mergeCell ref="C8:D8"/>
    <mergeCell ref="E8:F8"/>
    <mergeCell ref="G8:H8"/>
    <mergeCell ref="I8:J8"/>
    <mergeCell ref="K8:L8"/>
    <mergeCell ref="M8:N8"/>
    <mergeCell ref="A1:B1"/>
    <mergeCell ref="K1:N1"/>
    <mergeCell ref="A2:N2"/>
    <mergeCell ref="A3:B3"/>
    <mergeCell ref="C3:D3"/>
    <mergeCell ref="E3:F3"/>
    <mergeCell ref="G3:H3"/>
    <mergeCell ref="A11:B11"/>
    <mergeCell ref="C11:D11"/>
    <mergeCell ref="E11:F11"/>
    <mergeCell ref="G11:H11"/>
    <mergeCell ref="I11:J11"/>
    <mergeCell ref="K11:L11"/>
    <mergeCell ref="M11:N11"/>
    <mergeCell ref="K5:L5"/>
    <mergeCell ref="M5:N5"/>
    <mergeCell ref="M3:N3"/>
    <mergeCell ref="A4:N4"/>
    <mergeCell ref="A5:B5"/>
    <mergeCell ref="C5:D5"/>
    <mergeCell ref="E5:F5"/>
    <mergeCell ref="G5:H5"/>
    <mergeCell ref="I5:J5"/>
    <mergeCell ref="I3:J3"/>
    <mergeCell ref="A12:B12"/>
    <mergeCell ref="C12:D12"/>
    <mergeCell ref="E12:F12"/>
    <mergeCell ref="G12:H12"/>
    <mergeCell ref="I12:J12"/>
    <mergeCell ref="K12:L12"/>
    <mergeCell ref="M12:N12"/>
    <mergeCell ref="A9:B9"/>
    <mergeCell ref="C9:D9"/>
    <mergeCell ref="E9:F9"/>
    <mergeCell ref="G9:H9"/>
    <mergeCell ref="I9:J9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</mergeCells>
  <printOptions horizontalCentered="1" gridLines="1"/>
  <pageMargins left="0.25" right="0.25" top="0.5" bottom="0.5" header="0" footer="0"/>
  <pageSetup pageOrder="overThenDown" orientation="landscape" cellComments="atEnd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  <pageSetUpPr fitToPage="1"/>
  </sheetPr>
  <dimension ref="A1:N53"/>
  <sheetViews>
    <sheetView showGridLines="0" topLeftCell="A2" workbookViewId="0"/>
  </sheetViews>
  <sheetFormatPr defaultColWidth="12.5703125" defaultRowHeight="12.75" customHeight="1"/>
  <cols>
    <col min="1" max="1" width="3.85546875" customWidth="1"/>
    <col min="2" max="2" width="13.42578125" customWidth="1"/>
    <col min="3" max="3" width="3.85546875" customWidth="1"/>
    <col min="4" max="4" width="13.42578125" customWidth="1"/>
    <col min="5" max="5" width="3.85546875" customWidth="1"/>
    <col min="6" max="6" width="13.42578125" customWidth="1"/>
    <col min="7" max="7" width="3.85546875" customWidth="1"/>
    <col min="8" max="8" width="13.42578125" customWidth="1"/>
    <col min="9" max="9" width="3.85546875" customWidth="1"/>
    <col min="10" max="10" width="13.42578125" customWidth="1"/>
    <col min="11" max="11" width="3.85546875" customWidth="1"/>
    <col min="12" max="12" width="13.42578125" customWidth="1"/>
    <col min="13" max="13" width="3.85546875" customWidth="1"/>
    <col min="14" max="14" width="13.42578125" customWidth="1"/>
  </cols>
  <sheetData>
    <row r="1" spans="1:14" ht="12.6" hidden="1">
      <c r="A1" s="36">
        <f>EDATE('©'!A17,1)</f>
        <v>45139</v>
      </c>
      <c r="B1" s="37"/>
      <c r="C1" s="1"/>
      <c r="D1" s="1"/>
      <c r="E1" s="1"/>
      <c r="F1" s="1"/>
      <c r="G1" s="1"/>
      <c r="H1" s="1"/>
      <c r="I1" s="1"/>
      <c r="J1" s="1"/>
      <c r="K1" s="38" t="s">
        <v>0</v>
      </c>
      <c r="L1" s="37"/>
      <c r="M1" s="37"/>
      <c r="N1" s="37"/>
    </row>
    <row r="2" spans="1:14" ht="18" customHeight="1">
      <c r="A2" s="39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1:14" ht="18" customHeight="1">
      <c r="A3" s="29" t="s">
        <v>2</v>
      </c>
      <c r="B3" s="37"/>
      <c r="C3" s="27" t="s">
        <v>3</v>
      </c>
      <c r="D3" s="37"/>
      <c r="E3" s="19" t="s">
        <v>4</v>
      </c>
      <c r="F3" s="37"/>
      <c r="G3" s="21" t="s">
        <v>5</v>
      </c>
      <c r="H3" s="37"/>
      <c r="I3" s="56" t="s">
        <v>6</v>
      </c>
      <c r="J3" s="37"/>
      <c r="K3" s="23" t="s">
        <v>7</v>
      </c>
      <c r="L3" s="37"/>
      <c r="M3" s="25" t="s">
        <v>8</v>
      </c>
      <c r="N3" s="37"/>
    </row>
    <row r="4" spans="1:14" ht="60.75" customHeight="1">
      <c r="A4" s="42" t="str">
        <f>UPPER(TEXT(A1,"mmmm yyyy"))</f>
        <v>AUGUST 2023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</row>
    <row r="5" spans="1:14" ht="15" customHeight="1">
      <c r="A5" s="40">
        <f>A14</f>
        <v>45145</v>
      </c>
      <c r="B5" s="41"/>
      <c r="C5" s="40">
        <f>C14</f>
        <v>45146</v>
      </c>
      <c r="D5" s="41"/>
      <c r="E5" s="40">
        <f>E14</f>
        <v>45147</v>
      </c>
      <c r="F5" s="41"/>
      <c r="G5" s="40">
        <f>G14</f>
        <v>45148</v>
      </c>
      <c r="H5" s="41"/>
      <c r="I5" s="40">
        <f>I14</f>
        <v>45149</v>
      </c>
      <c r="J5" s="41"/>
      <c r="K5" s="40">
        <f>K14</f>
        <v>45150</v>
      </c>
      <c r="L5" s="41"/>
      <c r="M5" s="40">
        <f>M14</f>
        <v>45151</v>
      </c>
      <c r="N5" s="41"/>
    </row>
    <row r="6" spans="1:14" ht="18" customHeight="1">
      <c r="A6" s="2" t="str">
        <f>IF(WEEKDAY($A$1,1)=startday,$A$1,"")</f>
        <v/>
      </c>
      <c r="B6" s="3"/>
      <c r="C6" s="2">
        <f>IF(A6="",IF(WEEKDAY($A$1,1)=MOD(startday,7)+1,$A$1,""),A6+1)</f>
        <v>45139</v>
      </c>
      <c r="D6" s="3"/>
      <c r="E6" s="2">
        <f>IF(C6="",IF(WEEKDAY($A$1,1)=MOD(startday,7)+2,$A$1,""),C6+1)</f>
        <v>45140</v>
      </c>
      <c r="F6" s="3"/>
      <c r="G6" s="2">
        <f>IF(E6="",IF(WEEKDAY($A$1,1)=MOD(startday,7)+3,$A$1,""),E6+1)</f>
        <v>45141</v>
      </c>
      <c r="H6" s="3"/>
      <c r="I6" s="2">
        <f>IF(G6="",IF(WEEKDAY($A$1,1)=MOD(startday,7)+4,$A$1,""),G6+1)</f>
        <v>45142</v>
      </c>
      <c r="J6" s="3"/>
      <c r="K6" s="4">
        <f>IF(I6="",IF(WEEKDAY($A$1,1)=MOD(startday,7)+5,$A$1,""),I6+1)</f>
        <v>45143</v>
      </c>
      <c r="L6" s="5"/>
      <c r="M6" s="4">
        <f>IF(K6="",IF(WEEKDAY($A$1,1)=MOD(startday+5,7)+1,$A$1,""),K6+1)</f>
        <v>45144</v>
      </c>
      <c r="N6" s="5"/>
    </row>
    <row r="7" spans="1:14" ht="14.1">
      <c r="A7" s="29"/>
      <c r="B7" s="20"/>
      <c r="C7" s="44"/>
      <c r="D7" s="20"/>
      <c r="E7" s="29"/>
      <c r="F7" s="20"/>
      <c r="G7" s="44"/>
      <c r="H7" s="20"/>
      <c r="I7" s="44"/>
      <c r="J7" s="20"/>
      <c r="K7" s="44" t="s">
        <v>11</v>
      </c>
      <c r="L7" s="20"/>
      <c r="M7" s="44" t="s">
        <v>11</v>
      </c>
      <c r="N7" s="20"/>
    </row>
    <row r="8" spans="1:14" ht="14.1">
      <c r="A8" s="27"/>
      <c r="B8" s="20"/>
      <c r="C8" s="26"/>
      <c r="D8" s="20"/>
      <c r="E8" s="27"/>
      <c r="F8" s="20"/>
      <c r="G8" s="26"/>
      <c r="H8" s="20"/>
      <c r="I8" s="26"/>
      <c r="J8" s="20"/>
      <c r="K8" s="26" t="s">
        <v>16</v>
      </c>
      <c r="L8" s="20"/>
      <c r="M8" s="26" t="s">
        <v>16</v>
      </c>
      <c r="N8" s="20"/>
    </row>
    <row r="9" spans="1:14" ht="14.1">
      <c r="A9" s="19"/>
      <c r="B9" s="20"/>
      <c r="C9" s="35"/>
      <c r="D9" s="20"/>
      <c r="E9" s="19"/>
      <c r="F9" s="20"/>
      <c r="G9" s="35"/>
      <c r="H9" s="20"/>
      <c r="I9" s="35"/>
      <c r="J9" s="20"/>
      <c r="K9" s="35" t="s">
        <v>82</v>
      </c>
      <c r="L9" s="20"/>
      <c r="M9" s="35" t="s">
        <v>40</v>
      </c>
      <c r="N9" s="20"/>
    </row>
    <row r="10" spans="1:14" ht="14.1">
      <c r="A10" s="21"/>
      <c r="B10" s="20"/>
      <c r="C10" s="30"/>
      <c r="D10" s="20"/>
      <c r="E10" s="21"/>
      <c r="F10" s="20"/>
      <c r="G10" s="30"/>
      <c r="H10" s="20"/>
      <c r="I10" s="30"/>
      <c r="J10" s="20"/>
      <c r="K10" s="30" t="s">
        <v>15</v>
      </c>
      <c r="L10" s="20"/>
      <c r="M10" s="30" t="s">
        <v>15</v>
      </c>
      <c r="N10" s="20"/>
    </row>
    <row r="11" spans="1:14" ht="14.1">
      <c r="A11" s="56"/>
      <c r="B11" s="20"/>
      <c r="C11" s="57"/>
      <c r="D11" s="20"/>
      <c r="E11" s="56"/>
      <c r="F11" s="20"/>
      <c r="G11" s="57"/>
      <c r="H11" s="20"/>
      <c r="I11" s="57"/>
      <c r="J11" s="20"/>
      <c r="K11" s="57" t="s">
        <v>25</v>
      </c>
      <c r="L11" s="20"/>
      <c r="M11" s="57" t="s">
        <v>25</v>
      </c>
      <c r="N11" s="20"/>
    </row>
    <row r="12" spans="1:14" ht="14.1">
      <c r="A12" s="23"/>
      <c r="B12" s="20"/>
      <c r="C12" s="22"/>
      <c r="D12" s="20"/>
      <c r="E12" s="23"/>
      <c r="F12" s="20"/>
      <c r="G12" s="22"/>
      <c r="H12" s="20"/>
      <c r="I12" s="22"/>
      <c r="J12" s="20"/>
      <c r="K12" s="22" t="s">
        <v>36</v>
      </c>
      <c r="L12" s="20"/>
      <c r="M12" s="22" t="s">
        <v>36</v>
      </c>
      <c r="N12" s="20"/>
    </row>
    <row r="13" spans="1:14" ht="18" customHeight="1">
      <c r="A13" s="25"/>
      <c r="B13" s="20"/>
      <c r="C13" s="31"/>
      <c r="D13" s="24"/>
      <c r="E13" s="25"/>
      <c r="F13" s="20"/>
      <c r="G13" s="31"/>
      <c r="H13" s="24"/>
      <c r="I13" s="31"/>
      <c r="J13" s="24"/>
      <c r="K13" s="31" t="s">
        <v>50</v>
      </c>
      <c r="L13" s="24"/>
      <c r="M13" s="31" t="s">
        <v>50</v>
      </c>
      <c r="N13" s="24"/>
    </row>
    <row r="14" spans="1:14" ht="18" customHeight="1">
      <c r="A14" s="2">
        <f>M6+1</f>
        <v>45145</v>
      </c>
      <c r="B14" s="3"/>
      <c r="C14" s="2">
        <f>A14+1</f>
        <v>45146</v>
      </c>
      <c r="D14" s="3"/>
      <c r="E14" s="2">
        <f>C14+1</f>
        <v>45147</v>
      </c>
      <c r="F14" s="3"/>
      <c r="G14" s="2">
        <f>E14+1</f>
        <v>45148</v>
      </c>
      <c r="H14" s="3"/>
      <c r="I14" s="2">
        <f>G14+1</f>
        <v>45149</v>
      </c>
      <c r="J14" s="3"/>
      <c r="K14" s="4">
        <f>I14+1</f>
        <v>45150</v>
      </c>
      <c r="L14" s="5"/>
      <c r="M14" s="4">
        <f>K14+1</f>
        <v>45151</v>
      </c>
      <c r="N14" s="5"/>
    </row>
    <row r="15" spans="1:14" ht="14.1">
      <c r="A15" s="29" t="s">
        <v>10</v>
      </c>
      <c r="B15" s="20"/>
      <c r="C15" s="29" t="s">
        <v>11</v>
      </c>
      <c r="D15" s="20"/>
      <c r="E15" s="29" t="s">
        <v>39</v>
      </c>
      <c r="F15" s="20"/>
      <c r="G15" s="29" t="s">
        <v>11</v>
      </c>
      <c r="H15" s="20"/>
      <c r="I15" s="44" t="s">
        <v>50</v>
      </c>
      <c r="J15" s="20"/>
      <c r="K15" s="44" t="s">
        <v>50</v>
      </c>
      <c r="L15" s="20"/>
      <c r="M15" s="44" t="s">
        <v>50</v>
      </c>
      <c r="N15" s="20"/>
    </row>
    <row r="16" spans="1:14" ht="14.1">
      <c r="A16" s="27" t="s">
        <v>12</v>
      </c>
      <c r="B16" s="20"/>
      <c r="C16" s="27" t="s">
        <v>12</v>
      </c>
      <c r="D16" s="20"/>
      <c r="E16" s="27" t="s">
        <v>12</v>
      </c>
      <c r="F16" s="20"/>
      <c r="G16" s="27" t="s">
        <v>12</v>
      </c>
      <c r="H16" s="20"/>
      <c r="I16" s="27" t="s">
        <v>12</v>
      </c>
      <c r="J16" s="20"/>
      <c r="K16" s="27" t="s">
        <v>12</v>
      </c>
      <c r="L16" s="20"/>
      <c r="M16" s="27" t="s">
        <v>12</v>
      </c>
      <c r="N16" s="20"/>
    </row>
    <row r="17" spans="1:14" ht="14.1">
      <c r="A17" s="19" t="s">
        <v>112</v>
      </c>
      <c r="B17" s="20"/>
      <c r="C17" s="35" t="s">
        <v>13</v>
      </c>
      <c r="D17" s="20"/>
      <c r="E17" s="35" t="s">
        <v>55</v>
      </c>
      <c r="F17" s="20"/>
      <c r="G17" s="35" t="s">
        <v>13</v>
      </c>
      <c r="H17" s="20"/>
      <c r="I17" s="35" t="s">
        <v>11</v>
      </c>
      <c r="J17" s="20"/>
      <c r="K17" s="35" t="s">
        <v>10</v>
      </c>
      <c r="L17" s="20"/>
      <c r="M17" s="35" t="s">
        <v>10</v>
      </c>
      <c r="N17" s="20"/>
    </row>
    <row r="18" spans="1:14" ht="14.1">
      <c r="A18" s="21" t="s">
        <v>15</v>
      </c>
      <c r="B18" s="20"/>
      <c r="C18" s="21" t="s">
        <v>15</v>
      </c>
      <c r="D18" s="20"/>
      <c r="E18" s="21" t="s">
        <v>15</v>
      </c>
      <c r="F18" s="20"/>
      <c r="G18" s="21" t="s">
        <v>15</v>
      </c>
      <c r="H18" s="20"/>
      <c r="I18" s="21" t="s">
        <v>15</v>
      </c>
      <c r="J18" s="20"/>
      <c r="K18" s="21" t="s">
        <v>15</v>
      </c>
      <c r="L18" s="20"/>
      <c r="M18" s="21" t="s">
        <v>15</v>
      </c>
      <c r="N18" s="20"/>
    </row>
    <row r="19" spans="1:14" ht="14.1">
      <c r="A19" s="56" t="s">
        <v>16</v>
      </c>
      <c r="B19" s="20"/>
      <c r="C19" s="56" t="s">
        <v>16</v>
      </c>
      <c r="D19" s="20"/>
      <c r="E19" s="57" t="s">
        <v>16</v>
      </c>
      <c r="F19" s="20"/>
      <c r="G19" s="57" t="s">
        <v>16</v>
      </c>
      <c r="H19" s="20"/>
      <c r="I19" s="57" t="s">
        <v>16</v>
      </c>
      <c r="J19" s="20"/>
      <c r="K19" s="57" t="s">
        <v>16</v>
      </c>
      <c r="L19" s="20"/>
      <c r="M19" s="57" t="s">
        <v>16</v>
      </c>
      <c r="N19" s="20"/>
    </row>
    <row r="20" spans="1:14" ht="14.1">
      <c r="A20" s="23" t="s">
        <v>239</v>
      </c>
      <c r="B20" s="20"/>
      <c r="C20" s="23" t="s">
        <v>239</v>
      </c>
      <c r="D20" s="20"/>
      <c r="E20" s="23" t="s">
        <v>240</v>
      </c>
      <c r="F20" s="20"/>
      <c r="G20" s="23" t="s">
        <v>239</v>
      </c>
      <c r="H20" s="20"/>
      <c r="I20" s="22" t="s">
        <v>239</v>
      </c>
      <c r="J20" s="20"/>
      <c r="K20" s="22" t="s">
        <v>19</v>
      </c>
      <c r="L20" s="20"/>
      <c r="M20" s="22" t="s">
        <v>19</v>
      </c>
      <c r="N20" s="20"/>
    </row>
    <row r="21" spans="1:14" ht="18" customHeight="1">
      <c r="A21" s="25" t="s">
        <v>30</v>
      </c>
      <c r="B21" s="20"/>
      <c r="C21" s="25" t="s">
        <v>30</v>
      </c>
      <c r="D21" s="20"/>
      <c r="E21" s="25" t="s">
        <v>30</v>
      </c>
      <c r="F21" s="20"/>
      <c r="G21" s="25" t="s">
        <v>30</v>
      </c>
      <c r="H21" s="20"/>
      <c r="I21" s="25" t="s">
        <v>30</v>
      </c>
      <c r="J21" s="20"/>
      <c r="K21" s="25" t="s">
        <v>30</v>
      </c>
      <c r="L21" s="20"/>
      <c r="M21" s="25" t="s">
        <v>30</v>
      </c>
      <c r="N21" s="20"/>
    </row>
    <row r="22" spans="1:14" ht="18" customHeight="1">
      <c r="A22" s="2">
        <f>M14+1</f>
        <v>45152</v>
      </c>
      <c r="B22" s="3"/>
      <c r="C22" s="2">
        <f>A22+1</f>
        <v>45153</v>
      </c>
      <c r="D22" s="3"/>
      <c r="E22" s="2">
        <f>C22+1</f>
        <v>45154</v>
      </c>
      <c r="F22" s="3"/>
      <c r="G22" s="2">
        <f>E22+1</f>
        <v>45155</v>
      </c>
      <c r="H22" s="3"/>
      <c r="I22" s="2">
        <f>G22+1</f>
        <v>45156</v>
      </c>
      <c r="J22" s="3"/>
      <c r="K22" s="4">
        <f>I22+1</f>
        <v>45157</v>
      </c>
      <c r="L22" s="5"/>
      <c r="M22" s="4">
        <f>K22+1</f>
        <v>45158</v>
      </c>
      <c r="N22" s="5"/>
    </row>
    <row r="23" spans="1:14" ht="14.1">
      <c r="A23" s="29" t="s">
        <v>52</v>
      </c>
      <c r="B23" s="20"/>
      <c r="C23" s="44" t="s">
        <v>50</v>
      </c>
      <c r="D23" s="20"/>
      <c r="E23" s="29" t="s">
        <v>93</v>
      </c>
      <c r="F23" s="20"/>
      <c r="G23" s="44" t="s">
        <v>50</v>
      </c>
      <c r="H23" s="20"/>
      <c r="I23" s="44" t="s">
        <v>92</v>
      </c>
      <c r="J23" s="20"/>
      <c r="K23" s="44" t="s">
        <v>9</v>
      </c>
      <c r="L23" s="20"/>
      <c r="M23" s="44" t="s">
        <v>9</v>
      </c>
      <c r="N23" s="20"/>
    </row>
    <row r="24" spans="1:14" ht="14.1">
      <c r="A24" s="27" t="s">
        <v>54</v>
      </c>
      <c r="B24" s="20"/>
      <c r="C24" s="27" t="s">
        <v>54</v>
      </c>
      <c r="D24" s="20"/>
      <c r="E24" s="27" t="s">
        <v>54</v>
      </c>
      <c r="F24" s="20"/>
      <c r="G24" s="27" t="s">
        <v>54</v>
      </c>
      <c r="H24" s="20"/>
      <c r="I24" s="27" t="s">
        <v>54</v>
      </c>
      <c r="J24" s="20"/>
      <c r="K24" s="27" t="s">
        <v>54</v>
      </c>
      <c r="L24" s="20"/>
      <c r="M24" s="27" t="s">
        <v>54</v>
      </c>
      <c r="N24" s="20"/>
    </row>
    <row r="25" spans="1:14" ht="14.1">
      <c r="A25" s="19" t="s">
        <v>9</v>
      </c>
      <c r="B25" s="20"/>
      <c r="C25" s="35" t="s">
        <v>9</v>
      </c>
      <c r="D25" s="20"/>
      <c r="E25" s="19" t="s">
        <v>9</v>
      </c>
      <c r="F25" s="20"/>
      <c r="G25" s="35" t="s">
        <v>9</v>
      </c>
      <c r="H25" s="20"/>
      <c r="I25" s="35" t="s">
        <v>13</v>
      </c>
      <c r="J25" s="20"/>
      <c r="K25" s="35" t="s">
        <v>13</v>
      </c>
      <c r="L25" s="20"/>
      <c r="M25" s="35" t="s">
        <v>13</v>
      </c>
      <c r="N25" s="20"/>
    </row>
    <row r="26" spans="1:14" ht="14.1">
      <c r="A26" s="21" t="s">
        <v>24</v>
      </c>
      <c r="B26" s="20"/>
      <c r="C26" s="21" t="s">
        <v>24</v>
      </c>
      <c r="D26" s="20"/>
      <c r="E26" s="21" t="s">
        <v>24</v>
      </c>
      <c r="F26" s="20"/>
      <c r="G26" s="21" t="s">
        <v>24</v>
      </c>
      <c r="H26" s="20"/>
      <c r="I26" s="21" t="s">
        <v>24</v>
      </c>
      <c r="J26" s="20"/>
      <c r="K26" s="21" t="s">
        <v>24</v>
      </c>
      <c r="L26" s="20"/>
      <c r="M26" s="21" t="s">
        <v>24</v>
      </c>
      <c r="N26" s="20"/>
    </row>
    <row r="27" spans="1:14" ht="14.1">
      <c r="A27" s="56" t="s">
        <v>16</v>
      </c>
      <c r="B27" s="20"/>
      <c r="C27" s="56" t="s">
        <v>16</v>
      </c>
      <c r="D27" s="20"/>
      <c r="E27" s="56" t="s">
        <v>16</v>
      </c>
      <c r="F27" s="20"/>
      <c r="G27" s="56" t="s">
        <v>16</v>
      </c>
      <c r="H27" s="20"/>
      <c r="I27" s="56" t="s">
        <v>16</v>
      </c>
      <c r="J27" s="20"/>
      <c r="K27" s="56" t="s">
        <v>16</v>
      </c>
      <c r="L27" s="20"/>
      <c r="M27" s="56" t="s">
        <v>16</v>
      </c>
      <c r="N27" s="20"/>
    </row>
    <row r="28" spans="1:14" ht="14.1">
      <c r="A28" s="23" t="s">
        <v>17</v>
      </c>
      <c r="B28" s="20"/>
      <c r="C28" s="23" t="s">
        <v>17</v>
      </c>
      <c r="D28" s="20"/>
      <c r="E28" s="23" t="s">
        <v>240</v>
      </c>
      <c r="F28" s="20"/>
      <c r="G28" s="22" t="s">
        <v>17</v>
      </c>
      <c r="H28" s="20"/>
      <c r="I28" s="22" t="s">
        <v>17</v>
      </c>
      <c r="J28" s="20"/>
      <c r="K28" s="22" t="s">
        <v>17</v>
      </c>
      <c r="L28" s="20"/>
      <c r="M28" s="22" t="s">
        <v>17</v>
      </c>
      <c r="N28" s="20"/>
    </row>
    <row r="29" spans="1:14" ht="18" customHeight="1">
      <c r="A29" s="25" t="s">
        <v>241</v>
      </c>
      <c r="B29" s="20"/>
      <c r="C29" s="25" t="s">
        <v>241</v>
      </c>
      <c r="D29" s="20"/>
      <c r="E29" s="25" t="s">
        <v>30</v>
      </c>
      <c r="F29" s="20"/>
      <c r="G29" s="31" t="s">
        <v>241</v>
      </c>
      <c r="H29" s="24"/>
      <c r="I29" s="31" t="s">
        <v>242</v>
      </c>
      <c r="J29" s="24"/>
      <c r="K29" s="31" t="s">
        <v>74</v>
      </c>
      <c r="L29" s="24"/>
      <c r="M29" s="31" t="s">
        <v>74</v>
      </c>
      <c r="N29" s="24"/>
    </row>
    <row r="30" spans="1:14" ht="18" customHeight="1">
      <c r="A30" s="2">
        <f>M22+1</f>
        <v>45159</v>
      </c>
      <c r="B30" s="3"/>
      <c r="C30" s="2">
        <f>A30+1</f>
        <v>45160</v>
      </c>
      <c r="D30" s="3"/>
      <c r="E30" s="2">
        <f>C30+1</f>
        <v>45161</v>
      </c>
      <c r="F30" s="3"/>
      <c r="G30" s="2">
        <f>E30+1</f>
        <v>45162</v>
      </c>
      <c r="H30" s="3"/>
      <c r="I30" s="2">
        <f>G30+1</f>
        <v>45163</v>
      </c>
      <c r="J30" s="3"/>
      <c r="K30" s="4">
        <f>I30+1</f>
        <v>45164</v>
      </c>
      <c r="L30" s="5"/>
      <c r="M30" s="4">
        <f>K30+1</f>
        <v>45165</v>
      </c>
      <c r="N30" s="5"/>
    </row>
    <row r="31" spans="1:14" ht="14.1">
      <c r="A31" s="29" t="s">
        <v>92</v>
      </c>
      <c r="B31" s="20"/>
      <c r="C31" s="44" t="s">
        <v>9</v>
      </c>
      <c r="D31" s="20"/>
      <c r="E31" s="29" t="s">
        <v>53</v>
      </c>
      <c r="F31" s="20"/>
      <c r="G31" s="44" t="s">
        <v>9</v>
      </c>
      <c r="H31" s="20"/>
      <c r="I31" s="44" t="s">
        <v>105</v>
      </c>
      <c r="J31" s="20"/>
      <c r="K31" s="44" t="s">
        <v>24</v>
      </c>
      <c r="L31" s="20"/>
      <c r="M31" s="44" t="s">
        <v>24</v>
      </c>
      <c r="N31" s="20"/>
    </row>
    <row r="32" spans="1:14" ht="14.1">
      <c r="A32" s="27" t="s">
        <v>42</v>
      </c>
      <c r="B32" s="20"/>
      <c r="C32" s="27" t="s">
        <v>42</v>
      </c>
      <c r="D32" s="20"/>
      <c r="E32" s="27" t="s">
        <v>42</v>
      </c>
      <c r="F32" s="20"/>
      <c r="G32" s="27" t="s">
        <v>42</v>
      </c>
      <c r="H32" s="20"/>
      <c r="I32" s="27" t="s">
        <v>42</v>
      </c>
      <c r="J32" s="20"/>
      <c r="K32" s="27" t="s">
        <v>42</v>
      </c>
      <c r="L32" s="20"/>
      <c r="M32" s="27" t="s">
        <v>42</v>
      </c>
      <c r="N32" s="20"/>
    </row>
    <row r="33" spans="1:14" ht="14.1">
      <c r="A33" s="19" t="s">
        <v>11</v>
      </c>
      <c r="B33" s="20"/>
      <c r="C33" s="35" t="s">
        <v>11</v>
      </c>
      <c r="D33" s="20"/>
      <c r="E33" s="19" t="s">
        <v>10</v>
      </c>
      <c r="F33" s="20"/>
      <c r="G33" s="35" t="s">
        <v>11</v>
      </c>
      <c r="H33" s="20"/>
      <c r="I33" s="35" t="s">
        <v>82</v>
      </c>
      <c r="J33" s="20"/>
      <c r="K33" s="35" t="s">
        <v>243</v>
      </c>
      <c r="L33" s="20"/>
      <c r="M33" s="35" t="s">
        <v>243</v>
      </c>
      <c r="N33" s="20"/>
    </row>
    <row r="34" spans="1:14" ht="14.1">
      <c r="A34" s="21" t="s">
        <v>24</v>
      </c>
      <c r="B34" s="20"/>
      <c r="C34" s="21" t="s">
        <v>24</v>
      </c>
      <c r="D34" s="20"/>
      <c r="E34" s="21" t="s">
        <v>24</v>
      </c>
      <c r="F34" s="20"/>
      <c r="G34" s="21" t="s">
        <v>24</v>
      </c>
      <c r="H34" s="20"/>
      <c r="I34" s="21" t="s">
        <v>24</v>
      </c>
      <c r="J34" s="20"/>
      <c r="K34" s="21" t="s">
        <v>24</v>
      </c>
      <c r="L34" s="20"/>
      <c r="M34" s="21" t="s">
        <v>24</v>
      </c>
      <c r="N34" s="20"/>
    </row>
    <row r="35" spans="1:14" ht="14.1">
      <c r="A35" s="56" t="s">
        <v>25</v>
      </c>
      <c r="B35" s="20"/>
      <c r="C35" s="56" t="s">
        <v>25</v>
      </c>
      <c r="D35" s="20"/>
      <c r="E35" s="56" t="s">
        <v>25</v>
      </c>
      <c r="F35" s="20"/>
      <c r="G35" s="56" t="s">
        <v>25</v>
      </c>
      <c r="H35" s="20"/>
      <c r="I35" s="56" t="s">
        <v>25</v>
      </c>
      <c r="J35" s="20"/>
      <c r="K35" s="56" t="s">
        <v>25</v>
      </c>
      <c r="L35" s="20"/>
      <c r="M35" s="56" t="s">
        <v>25</v>
      </c>
      <c r="N35" s="20"/>
    </row>
    <row r="36" spans="1:14" ht="14.1">
      <c r="A36" s="23" t="s">
        <v>26</v>
      </c>
      <c r="B36" s="20"/>
      <c r="C36" s="22" t="s">
        <v>239</v>
      </c>
      <c r="D36" s="20"/>
      <c r="E36" s="23" t="s">
        <v>244</v>
      </c>
      <c r="F36" s="20"/>
      <c r="G36" s="23" t="s">
        <v>245</v>
      </c>
      <c r="H36" s="20"/>
      <c r="I36" s="22" t="s">
        <v>26</v>
      </c>
      <c r="J36" s="20"/>
      <c r="K36" s="22" t="s">
        <v>26</v>
      </c>
      <c r="L36" s="20"/>
      <c r="M36" s="22" t="s">
        <v>26</v>
      </c>
      <c r="N36" s="20"/>
    </row>
    <row r="37" spans="1:14" ht="18" customHeight="1">
      <c r="A37" s="25" t="s">
        <v>242</v>
      </c>
      <c r="B37" s="20"/>
      <c r="C37" s="31" t="s">
        <v>50</v>
      </c>
      <c r="D37" s="24"/>
      <c r="E37" s="31" t="s">
        <v>50</v>
      </c>
      <c r="F37" s="24"/>
      <c r="G37" s="31" t="s">
        <v>50</v>
      </c>
      <c r="H37" s="24"/>
      <c r="I37" s="31" t="s">
        <v>241</v>
      </c>
      <c r="J37" s="24"/>
      <c r="K37" s="31" t="s">
        <v>41</v>
      </c>
      <c r="L37" s="24"/>
      <c r="M37" s="31" t="s">
        <v>41</v>
      </c>
      <c r="N37" s="24"/>
    </row>
    <row r="38" spans="1:14" ht="18" customHeight="1">
      <c r="A38" s="2">
        <f>IF(M30="","",IF(MONTH(M30+1)&lt;&gt;MONTH($A$1),"",M30+1))</f>
        <v>45166</v>
      </c>
      <c r="B38" s="3"/>
      <c r="C38" s="2">
        <f>IF(A38="","",IF(MONTH(A38+1)&lt;&gt;MONTH($A$1),"",A38+1))</f>
        <v>45167</v>
      </c>
      <c r="D38" s="3"/>
      <c r="E38" s="2">
        <f>IF(C38="","",IF(MONTH(C38+1)&lt;&gt;MONTH($A$1),"",C38+1))</f>
        <v>45168</v>
      </c>
      <c r="F38" s="3"/>
      <c r="G38" s="2">
        <f>IF(E38="","",IF(MONTH(E38+1)&lt;&gt;MONTH($A$1),"",E38+1))</f>
        <v>45169</v>
      </c>
      <c r="H38" s="3"/>
      <c r="I38" s="2" t="str">
        <f>IF(G38="","",IF(MONTH(G38+1)&lt;&gt;MONTH($A$1),"",G38+1))</f>
        <v/>
      </c>
      <c r="J38" s="3"/>
      <c r="K38" s="4" t="str">
        <f>IF(I38="","",IF(MONTH(I38+1)&lt;&gt;MONTH($A$1),"",I38+1))</f>
        <v/>
      </c>
      <c r="L38" s="5"/>
      <c r="M38" s="4" t="str">
        <f>IF(K38="","",IF(MONTH(K38+1)&lt;&gt;MONTH($A$1),"",K38+1))</f>
        <v/>
      </c>
      <c r="N38" s="5"/>
    </row>
    <row r="39" spans="1:14" ht="14.1">
      <c r="A39" s="29" t="s">
        <v>135</v>
      </c>
      <c r="B39" s="20"/>
      <c r="C39" s="44" t="s">
        <v>24</v>
      </c>
      <c r="D39" s="20"/>
      <c r="E39" s="29" t="s">
        <v>85</v>
      </c>
      <c r="F39" s="20"/>
      <c r="G39" s="44" t="s">
        <v>24</v>
      </c>
      <c r="H39" s="20"/>
      <c r="I39" s="44" t="s">
        <v>39</v>
      </c>
      <c r="J39" s="20"/>
      <c r="K39" s="44" t="s">
        <v>11</v>
      </c>
      <c r="L39" s="20"/>
      <c r="M39" s="44" t="s">
        <v>11</v>
      </c>
      <c r="N39" s="20"/>
    </row>
    <row r="40" spans="1:14" ht="14.1">
      <c r="A40" s="27" t="s">
        <v>59</v>
      </c>
      <c r="B40" s="20"/>
      <c r="C40" s="27" t="s">
        <v>59</v>
      </c>
      <c r="D40" s="20"/>
      <c r="E40" s="27" t="s">
        <v>59</v>
      </c>
      <c r="F40" s="20"/>
      <c r="G40" s="27" t="s">
        <v>59</v>
      </c>
      <c r="H40" s="20"/>
      <c r="I40" s="27" t="s">
        <v>59</v>
      </c>
      <c r="J40" s="20"/>
      <c r="K40" s="27" t="s">
        <v>59</v>
      </c>
      <c r="L40" s="20"/>
      <c r="M40" s="27" t="s">
        <v>59</v>
      </c>
      <c r="N40" s="20"/>
    </row>
    <row r="41" spans="1:14" ht="14.1">
      <c r="A41" s="19" t="s">
        <v>53</v>
      </c>
      <c r="B41" s="20"/>
      <c r="C41" s="35" t="s">
        <v>9</v>
      </c>
      <c r="D41" s="20"/>
      <c r="E41" s="35" t="s">
        <v>9</v>
      </c>
      <c r="F41" s="20"/>
      <c r="G41" s="35" t="s">
        <v>9</v>
      </c>
      <c r="H41" s="20"/>
      <c r="I41" s="35" t="s">
        <v>9</v>
      </c>
      <c r="J41" s="20"/>
      <c r="K41" s="35" t="s">
        <v>62</v>
      </c>
      <c r="L41" s="20"/>
      <c r="M41" s="35" t="s">
        <v>62</v>
      </c>
      <c r="N41" s="20"/>
    </row>
    <row r="42" spans="1:14" ht="14.1">
      <c r="A42" s="21" t="s">
        <v>15</v>
      </c>
      <c r="B42" s="20"/>
      <c r="C42" s="21" t="s">
        <v>15</v>
      </c>
      <c r="D42" s="20"/>
      <c r="E42" s="21" t="s">
        <v>15</v>
      </c>
      <c r="F42" s="20"/>
      <c r="G42" s="21" t="s">
        <v>15</v>
      </c>
      <c r="H42" s="20"/>
      <c r="I42" s="21" t="s">
        <v>15</v>
      </c>
      <c r="J42" s="20"/>
      <c r="K42" s="21" t="s">
        <v>15</v>
      </c>
      <c r="L42" s="20"/>
      <c r="M42" s="21" t="s">
        <v>15</v>
      </c>
      <c r="N42" s="20"/>
    </row>
    <row r="43" spans="1:14" ht="14.1">
      <c r="A43" s="56" t="s">
        <v>16</v>
      </c>
      <c r="B43" s="20"/>
      <c r="C43" s="56" t="s">
        <v>16</v>
      </c>
      <c r="D43" s="20"/>
      <c r="E43" s="56" t="s">
        <v>16</v>
      </c>
      <c r="F43" s="20"/>
      <c r="G43" s="56" t="s">
        <v>16</v>
      </c>
      <c r="H43" s="20"/>
      <c r="I43" s="56" t="s">
        <v>16</v>
      </c>
      <c r="J43" s="20"/>
      <c r="K43" s="56" t="s">
        <v>16</v>
      </c>
      <c r="L43" s="20"/>
      <c r="M43" s="56" t="s">
        <v>16</v>
      </c>
      <c r="N43" s="20"/>
    </row>
    <row r="44" spans="1:14" ht="14.1">
      <c r="A44" s="23" t="s">
        <v>239</v>
      </c>
      <c r="B44" s="20"/>
      <c r="C44" s="23" t="s">
        <v>239</v>
      </c>
      <c r="D44" s="20"/>
      <c r="E44" s="23" t="s">
        <v>240</v>
      </c>
      <c r="F44" s="20"/>
      <c r="G44" s="22" t="s">
        <v>245</v>
      </c>
      <c r="H44" s="20"/>
      <c r="I44" s="22" t="s">
        <v>240</v>
      </c>
      <c r="J44" s="20"/>
      <c r="K44" s="22" t="s">
        <v>36</v>
      </c>
      <c r="L44" s="20"/>
      <c r="M44" s="22" t="s">
        <v>17</v>
      </c>
      <c r="N44" s="20"/>
    </row>
    <row r="45" spans="1:14" ht="18" customHeight="1">
      <c r="A45" s="25" t="s">
        <v>30</v>
      </c>
      <c r="B45" s="20"/>
      <c r="C45" s="31" t="s">
        <v>30</v>
      </c>
      <c r="D45" s="24"/>
      <c r="E45" s="25" t="s">
        <v>30</v>
      </c>
      <c r="F45" s="20"/>
      <c r="G45" s="31" t="s">
        <v>30</v>
      </c>
      <c r="H45" s="24"/>
      <c r="I45" s="31" t="s">
        <v>50</v>
      </c>
      <c r="J45" s="24"/>
      <c r="K45" s="31" t="s">
        <v>50</v>
      </c>
      <c r="L45" s="24"/>
      <c r="M45" s="31" t="s">
        <v>74</v>
      </c>
      <c r="N45" s="24"/>
    </row>
    <row r="46" spans="1:14" ht="18" customHeight="1">
      <c r="A46" s="2" t="str">
        <f>IF(M38="","",IF(MONTH(M38+1)&lt;&gt;MONTH($A$1),"",M38+1))</f>
        <v/>
      </c>
      <c r="B46" s="3"/>
      <c r="C46" s="2" t="str">
        <f>IF(A46="","",IF(MONTH(A46+1)&lt;&gt;MONTH($A$1),"",A46+1))</f>
        <v/>
      </c>
      <c r="D46" s="3"/>
      <c r="E46" s="46" t="s">
        <v>22</v>
      </c>
      <c r="F46" s="47"/>
      <c r="G46" s="48"/>
      <c r="H46" s="47"/>
      <c r="I46" s="47"/>
      <c r="J46" s="47"/>
      <c r="K46" s="47"/>
      <c r="L46" s="47"/>
      <c r="M46" s="47"/>
      <c r="N46" s="49"/>
    </row>
    <row r="47" spans="1:14" ht="14.1">
      <c r="A47" s="29" t="s">
        <v>39</v>
      </c>
      <c r="B47" s="20"/>
      <c r="C47" s="44"/>
      <c r="D47" s="20"/>
      <c r="E47" s="45" t="s">
        <v>246</v>
      </c>
      <c r="F47" s="37"/>
      <c r="G47" s="37"/>
      <c r="H47" s="37"/>
      <c r="I47" s="37"/>
      <c r="J47" s="37"/>
      <c r="K47" s="37"/>
      <c r="L47" s="37"/>
      <c r="M47" s="37"/>
      <c r="N47" s="20"/>
    </row>
    <row r="48" spans="1:14" ht="14.1">
      <c r="A48" s="27" t="s">
        <v>25</v>
      </c>
      <c r="B48" s="20"/>
      <c r="C48" s="26"/>
      <c r="D48" s="20"/>
      <c r="E48" s="45"/>
      <c r="F48" s="37"/>
      <c r="G48" s="37"/>
      <c r="H48" s="37"/>
      <c r="I48" s="37"/>
      <c r="J48" s="37"/>
      <c r="K48" s="37"/>
      <c r="L48" s="37"/>
      <c r="M48" s="37"/>
      <c r="N48" s="20"/>
    </row>
    <row r="49" spans="1:14" ht="14.1">
      <c r="A49" s="19" t="s">
        <v>9</v>
      </c>
      <c r="B49" s="20"/>
      <c r="C49" s="35"/>
      <c r="D49" s="20"/>
      <c r="E49" s="45"/>
      <c r="F49" s="37"/>
      <c r="G49" s="37"/>
      <c r="H49" s="37"/>
      <c r="I49" s="37"/>
      <c r="J49" s="37"/>
      <c r="K49" s="37"/>
      <c r="L49" s="37"/>
      <c r="M49" s="37"/>
      <c r="N49" s="20"/>
    </row>
    <row r="50" spans="1:14" ht="14.1">
      <c r="A50" s="21" t="s">
        <v>24</v>
      </c>
      <c r="B50" s="20"/>
      <c r="C50" s="30"/>
      <c r="D50" s="20"/>
      <c r="E50" s="6"/>
      <c r="F50" s="6"/>
      <c r="G50" s="7"/>
      <c r="H50" s="7"/>
      <c r="I50" s="7"/>
      <c r="J50" s="7"/>
      <c r="K50" s="7"/>
      <c r="L50" s="7"/>
      <c r="M50" s="7"/>
      <c r="N50" s="8"/>
    </row>
    <row r="51" spans="1:14" ht="14.1">
      <c r="A51" s="56" t="s">
        <v>13</v>
      </c>
      <c r="B51" s="20"/>
      <c r="C51" s="57"/>
      <c r="D51" s="20"/>
      <c r="E51" s="6"/>
      <c r="F51" s="7"/>
      <c r="G51" s="7"/>
      <c r="H51" s="7"/>
      <c r="I51" s="7"/>
      <c r="J51" s="7"/>
      <c r="K51" s="7"/>
      <c r="L51" s="7"/>
      <c r="M51" s="7"/>
      <c r="N51" s="8"/>
    </row>
    <row r="52" spans="1:14" ht="14.1">
      <c r="A52" s="23" t="s">
        <v>26</v>
      </c>
      <c r="B52" s="20"/>
      <c r="C52" s="22"/>
      <c r="D52" s="20"/>
      <c r="E52" s="6"/>
      <c r="F52" s="6"/>
      <c r="G52" s="7"/>
      <c r="H52" s="7"/>
      <c r="I52" s="7"/>
      <c r="J52" s="7"/>
      <c r="K52" s="7"/>
      <c r="L52" s="7"/>
      <c r="M52" s="7"/>
      <c r="N52" s="8"/>
    </row>
    <row r="53" spans="1:14" ht="14.1">
      <c r="A53" s="25" t="s">
        <v>242</v>
      </c>
      <c r="B53" s="20"/>
      <c r="C53" s="31"/>
      <c r="D53" s="24"/>
      <c r="E53" s="32" t="s">
        <v>23</v>
      </c>
      <c r="F53" s="33"/>
      <c r="G53" s="33"/>
      <c r="H53" s="33"/>
      <c r="I53" s="34" t="str">
        <f>HYPERLINK("https://www.vertex42.com/calendars/academic-calendar.html","https://www.vertex42.com/calendars/academic-calendar.html")</f>
        <v>https://www.vertex42.com/calendars/academic-calendar.html</v>
      </c>
      <c r="J53" s="33"/>
      <c r="K53" s="33"/>
      <c r="L53" s="33"/>
      <c r="M53" s="33"/>
      <c r="N53" s="24"/>
    </row>
  </sheetData>
  <mergeCells count="284">
    <mergeCell ref="A51:B51"/>
    <mergeCell ref="A52:B52"/>
    <mergeCell ref="C52:D52"/>
    <mergeCell ref="A53:B53"/>
    <mergeCell ref="C53:D53"/>
    <mergeCell ref="E53:H53"/>
    <mergeCell ref="I53:N53"/>
    <mergeCell ref="A48:B48"/>
    <mergeCell ref="A49:B49"/>
    <mergeCell ref="C49:D49"/>
    <mergeCell ref="E49:N49"/>
    <mergeCell ref="A50:B50"/>
    <mergeCell ref="C50:D50"/>
    <mergeCell ref="C51:D51"/>
    <mergeCell ref="A43:B43"/>
    <mergeCell ref="C43:D43"/>
    <mergeCell ref="E43:F43"/>
    <mergeCell ref="G43:H43"/>
    <mergeCell ref="I43:J43"/>
    <mergeCell ref="K43:L43"/>
    <mergeCell ref="M43:N43"/>
    <mergeCell ref="A44:B44"/>
    <mergeCell ref="C44:D44"/>
    <mergeCell ref="E44:F44"/>
    <mergeCell ref="G44:H44"/>
    <mergeCell ref="I44:J44"/>
    <mergeCell ref="K44:L44"/>
    <mergeCell ref="M44:N44"/>
    <mergeCell ref="K41:L41"/>
    <mergeCell ref="M41:N41"/>
    <mergeCell ref="A42:B42"/>
    <mergeCell ref="C42:D42"/>
    <mergeCell ref="E42:F42"/>
    <mergeCell ref="G42:H42"/>
    <mergeCell ref="I42:J42"/>
    <mergeCell ref="K42:L42"/>
    <mergeCell ref="M42:N42"/>
    <mergeCell ref="A47:B47"/>
    <mergeCell ref="C47:D47"/>
    <mergeCell ref="E47:N47"/>
    <mergeCell ref="C48:D48"/>
    <mergeCell ref="E48:N48"/>
    <mergeCell ref="A39:B39"/>
    <mergeCell ref="C39:D39"/>
    <mergeCell ref="E39:F39"/>
    <mergeCell ref="G39:H39"/>
    <mergeCell ref="I39:J39"/>
    <mergeCell ref="K39:L39"/>
    <mergeCell ref="M39:N39"/>
    <mergeCell ref="A40:B40"/>
    <mergeCell ref="C40:D40"/>
    <mergeCell ref="E40:F40"/>
    <mergeCell ref="G40:H40"/>
    <mergeCell ref="I40:J40"/>
    <mergeCell ref="K40:L40"/>
    <mergeCell ref="M40:N40"/>
    <mergeCell ref="A41:B41"/>
    <mergeCell ref="C41:D41"/>
    <mergeCell ref="E41:F41"/>
    <mergeCell ref="G41:H41"/>
    <mergeCell ref="I41:J41"/>
    <mergeCell ref="A45:B45"/>
    <mergeCell ref="C45:D45"/>
    <mergeCell ref="E45:F45"/>
    <mergeCell ref="G45:H45"/>
    <mergeCell ref="I45:J45"/>
    <mergeCell ref="K45:L45"/>
    <mergeCell ref="M45:N45"/>
    <mergeCell ref="E46:F46"/>
    <mergeCell ref="G46:N46"/>
    <mergeCell ref="A36:B36"/>
    <mergeCell ref="C36:D36"/>
    <mergeCell ref="E36:F36"/>
    <mergeCell ref="G36:H36"/>
    <mergeCell ref="I36:J36"/>
    <mergeCell ref="K36:L36"/>
    <mergeCell ref="M36:N36"/>
    <mergeCell ref="A37:B37"/>
    <mergeCell ref="C37:D37"/>
    <mergeCell ref="E37:F37"/>
    <mergeCell ref="G37:H37"/>
    <mergeCell ref="I37:J37"/>
    <mergeCell ref="K37:L37"/>
    <mergeCell ref="M37:N37"/>
    <mergeCell ref="A34:B34"/>
    <mergeCell ref="C34:D34"/>
    <mergeCell ref="E34:F34"/>
    <mergeCell ref="G34:H34"/>
    <mergeCell ref="I34:J34"/>
    <mergeCell ref="K34:L34"/>
    <mergeCell ref="M34:N34"/>
    <mergeCell ref="A35:B35"/>
    <mergeCell ref="C35:D35"/>
    <mergeCell ref="E35:F35"/>
    <mergeCell ref="G35:H35"/>
    <mergeCell ref="I35:J35"/>
    <mergeCell ref="K35:L35"/>
    <mergeCell ref="M35:N35"/>
    <mergeCell ref="A32:B32"/>
    <mergeCell ref="C32:D32"/>
    <mergeCell ref="E32:F32"/>
    <mergeCell ref="G32:H32"/>
    <mergeCell ref="I32:J32"/>
    <mergeCell ref="K32:L32"/>
    <mergeCell ref="M32:N32"/>
    <mergeCell ref="A33:B33"/>
    <mergeCell ref="C33:D33"/>
    <mergeCell ref="E33:F33"/>
    <mergeCell ref="G33:H33"/>
    <mergeCell ref="I33:J33"/>
    <mergeCell ref="K33:L33"/>
    <mergeCell ref="M33:N33"/>
    <mergeCell ref="A29:B29"/>
    <mergeCell ref="C29:D29"/>
    <mergeCell ref="E29:F29"/>
    <mergeCell ref="G29:H29"/>
    <mergeCell ref="I29:J29"/>
    <mergeCell ref="K29:L29"/>
    <mergeCell ref="M29:N29"/>
    <mergeCell ref="A31:B31"/>
    <mergeCell ref="C31:D31"/>
    <mergeCell ref="E31:F31"/>
    <mergeCell ref="G31:H31"/>
    <mergeCell ref="I31:J31"/>
    <mergeCell ref="K31:L31"/>
    <mergeCell ref="M31:N31"/>
    <mergeCell ref="A27:B27"/>
    <mergeCell ref="C27:D27"/>
    <mergeCell ref="E27:F27"/>
    <mergeCell ref="G27:H27"/>
    <mergeCell ref="I27:J27"/>
    <mergeCell ref="K27:L27"/>
    <mergeCell ref="M27:N27"/>
    <mergeCell ref="A28:B28"/>
    <mergeCell ref="C28:D28"/>
    <mergeCell ref="E28:F28"/>
    <mergeCell ref="G28:H28"/>
    <mergeCell ref="I28:J28"/>
    <mergeCell ref="K28:L28"/>
    <mergeCell ref="M28:N28"/>
    <mergeCell ref="A25:B25"/>
    <mergeCell ref="C25:D25"/>
    <mergeCell ref="E25:F25"/>
    <mergeCell ref="G25:H25"/>
    <mergeCell ref="I25:J25"/>
    <mergeCell ref="K25:L25"/>
    <mergeCell ref="M25:N25"/>
    <mergeCell ref="A26:B26"/>
    <mergeCell ref="C26:D26"/>
    <mergeCell ref="E26:F26"/>
    <mergeCell ref="G26:H26"/>
    <mergeCell ref="I26:J26"/>
    <mergeCell ref="K26:L26"/>
    <mergeCell ref="M26:N26"/>
    <mergeCell ref="A23:B23"/>
    <mergeCell ref="C23:D23"/>
    <mergeCell ref="E23:F23"/>
    <mergeCell ref="G23:H23"/>
    <mergeCell ref="I23:J23"/>
    <mergeCell ref="K23:L23"/>
    <mergeCell ref="M23:N23"/>
    <mergeCell ref="A24:B24"/>
    <mergeCell ref="C24:D24"/>
    <mergeCell ref="E24:F24"/>
    <mergeCell ref="G24:H24"/>
    <mergeCell ref="I24:J24"/>
    <mergeCell ref="K24:L24"/>
    <mergeCell ref="M24:N24"/>
    <mergeCell ref="A20:B20"/>
    <mergeCell ref="C20:D20"/>
    <mergeCell ref="E20:F20"/>
    <mergeCell ref="G20:H20"/>
    <mergeCell ref="I20:J20"/>
    <mergeCell ref="K20:L20"/>
    <mergeCell ref="M20:N20"/>
    <mergeCell ref="A21:B21"/>
    <mergeCell ref="C21:D21"/>
    <mergeCell ref="E21:F21"/>
    <mergeCell ref="G21:H21"/>
    <mergeCell ref="I21:J21"/>
    <mergeCell ref="K21:L21"/>
    <mergeCell ref="M21:N21"/>
    <mergeCell ref="A18:B18"/>
    <mergeCell ref="C18:D18"/>
    <mergeCell ref="E18:F18"/>
    <mergeCell ref="G18:H18"/>
    <mergeCell ref="I18:J18"/>
    <mergeCell ref="K18:L18"/>
    <mergeCell ref="M18:N18"/>
    <mergeCell ref="A19:B19"/>
    <mergeCell ref="C19:D19"/>
    <mergeCell ref="E19:F19"/>
    <mergeCell ref="G19:H19"/>
    <mergeCell ref="I19:J19"/>
    <mergeCell ref="K19:L19"/>
    <mergeCell ref="M19:N19"/>
    <mergeCell ref="A16:B16"/>
    <mergeCell ref="C16:D16"/>
    <mergeCell ref="E16:F16"/>
    <mergeCell ref="G16:H16"/>
    <mergeCell ref="I16:J16"/>
    <mergeCell ref="K16:L16"/>
    <mergeCell ref="M16:N16"/>
    <mergeCell ref="A17:B17"/>
    <mergeCell ref="C17:D17"/>
    <mergeCell ref="E17:F17"/>
    <mergeCell ref="G17:H17"/>
    <mergeCell ref="I17:J17"/>
    <mergeCell ref="K17:L17"/>
    <mergeCell ref="M17:N17"/>
    <mergeCell ref="A13:B13"/>
    <mergeCell ref="C13:D13"/>
    <mergeCell ref="E13:F13"/>
    <mergeCell ref="G13:H13"/>
    <mergeCell ref="I13:J13"/>
    <mergeCell ref="K13:L13"/>
    <mergeCell ref="M13:N13"/>
    <mergeCell ref="A15:B15"/>
    <mergeCell ref="C15:D15"/>
    <mergeCell ref="E15:F15"/>
    <mergeCell ref="G15:H15"/>
    <mergeCell ref="I15:J15"/>
    <mergeCell ref="K15:L15"/>
    <mergeCell ref="M15:N15"/>
    <mergeCell ref="K3:L3"/>
    <mergeCell ref="A7:B7"/>
    <mergeCell ref="C7:D7"/>
    <mergeCell ref="E7:F7"/>
    <mergeCell ref="G7:H7"/>
    <mergeCell ref="I7:J7"/>
    <mergeCell ref="K7:L7"/>
    <mergeCell ref="M7:N7"/>
    <mergeCell ref="A8:B8"/>
    <mergeCell ref="C8:D8"/>
    <mergeCell ref="E8:F8"/>
    <mergeCell ref="G8:H8"/>
    <mergeCell ref="I8:J8"/>
    <mergeCell ref="K8:L8"/>
    <mergeCell ref="M8:N8"/>
    <mergeCell ref="A1:B1"/>
    <mergeCell ref="K1:N1"/>
    <mergeCell ref="A2:N2"/>
    <mergeCell ref="A3:B3"/>
    <mergeCell ref="C3:D3"/>
    <mergeCell ref="E3:F3"/>
    <mergeCell ref="G3:H3"/>
    <mergeCell ref="A11:B11"/>
    <mergeCell ref="C11:D11"/>
    <mergeCell ref="E11:F11"/>
    <mergeCell ref="G11:H11"/>
    <mergeCell ref="I11:J11"/>
    <mergeCell ref="K11:L11"/>
    <mergeCell ref="M11:N11"/>
    <mergeCell ref="K5:L5"/>
    <mergeCell ref="M5:N5"/>
    <mergeCell ref="M3:N3"/>
    <mergeCell ref="A4:N4"/>
    <mergeCell ref="A5:B5"/>
    <mergeCell ref="C5:D5"/>
    <mergeCell ref="E5:F5"/>
    <mergeCell ref="G5:H5"/>
    <mergeCell ref="I5:J5"/>
    <mergeCell ref="I3:J3"/>
    <mergeCell ref="A12:B12"/>
    <mergeCell ref="C12:D12"/>
    <mergeCell ref="E12:F12"/>
    <mergeCell ref="G12:H12"/>
    <mergeCell ref="I12:J12"/>
    <mergeCell ref="K12:L12"/>
    <mergeCell ref="M12:N12"/>
    <mergeCell ref="A9:B9"/>
    <mergeCell ref="C9:D9"/>
    <mergeCell ref="E9:F9"/>
    <mergeCell ref="G9:H9"/>
    <mergeCell ref="I9:J9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</mergeCells>
  <printOptions horizontalCentered="1" gridLines="1"/>
  <pageMargins left="0.25" right="0.25" top="0.5" bottom="0.5" header="0" footer="0"/>
  <pageSetup pageOrder="overThenDown" orientation="landscape" cellComments="atEnd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  <pageSetUpPr fitToPage="1"/>
  </sheetPr>
  <dimension ref="A1:N53"/>
  <sheetViews>
    <sheetView showGridLines="0" topLeftCell="A2" workbookViewId="0"/>
  </sheetViews>
  <sheetFormatPr defaultColWidth="12.5703125" defaultRowHeight="12.75" customHeight="1"/>
  <cols>
    <col min="1" max="1" width="3.85546875" customWidth="1"/>
    <col min="2" max="2" width="13.42578125" customWidth="1"/>
    <col min="3" max="3" width="3.85546875" customWidth="1"/>
    <col min="4" max="4" width="13.42578125" customWidth="1"/>
    <col min="5" max="5" width="3.85546875" customWidth="1"/>
    <col min="6" max="6" width="13.42578125" customWidth="1"/>
    <col min="7" max="7" width="3.85546875" customWidth="1"/>
    <col min="8" max="8" width="13.42578125" customWidth="1"/>
    <col min="9" max="9" width="3.85546875" customWidth="1"/>
    <col min="10" max="10" width="13.42578125" customWidth="1"/>
    <col min="11" max="11" width="3.85546875" customWidth="1"/>
    <col min="12" max="12" width="13.42578125" customWidth="1"/>
    <col min="13" max="13" width="3.85546875" customWidth="1"/>
    <col min="14" max="14" width="13.42578125" customWidth="1"/>
  </cols>
  <sheetData>
    <row r="1" spans="1:14" ht="12.6" hidden="1">
      <c r="A1" s="36">
        <f>EDATE('©'!A17,2)</f>
        <v>45170</v>
      </c>
      <c r="B1" s="37"/>
      <c r="C1" s="1"/>
      <c r="D1" s="1"/>
      <c r="E1" s="1"/>
      <c r="F1" s="1"/>
      <c r="G1" s="1"/>
      <c r="H1" s="1"/>
      <c r="I1" s="1"/>
      <c r="J1" s="1"/>
      <c r="K1" s="38" t="s">
        <v>0</v>
      </c>
      <c r="L1" s="37"/>
      <c r="M1" s="37"/>
      <c r="N1" s="37"/>
    </row>
    <row r="2" spans="1:14" ht="18" customHeight="1">
      <c r="A2" s="39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1:14" ht="18" customHeight="1">
      <c r="A3" s="29" t="s">
        <v>2</v>
      </c>
      <c r="B3" s="37"/>
      <c r="C3" s="27" t="s">
        <v>3</v>
      </c>
      <c r="D3" s="37"/>
      <c r="E3" s="19" t="s">
        <v>4</v>
      </c>
      <c r="F3" s="37"/>
      <c r="G3" s="21" t="s">
        <v>5</v>
      </c>
      <c r="H3" s="37"/>
      <c r="I3" s="56" t="s">
        <v>6</v>
      </c>
      <c r="J3" s="37"/>
      <c r="K3" s="23" t="s">
        <v>7</v>
      </c>
      <c r="L3" s="37"/>
      <c r="M3" s="25" t="s">
        <v>8</v>
      </c>
      <c r="N3" s="37"/>
    </row>
    <row r="4" spans="1:14" ht="60.75" customHeight="1">
      <c r="A4" s="42" t="str">
        <f>UPPER(TEXT(A1,"mmmm yyyy"))</f>
        <v>SEPTEMBER 2023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</row>
    <row r="5" spans="1:14" ht="15" customHeight="1">
      <c r="A5" s="40">
        <f>A14</f>
        <v>45173</v>
      </c>
      <c r="B5" s="41"/>
      <c r="C5" s="40">
        <f>C14</f>
        <v>45174</v>
      </c>
      <c r="D5" s="41"/>
      <c r="E5" s="40">
        <f>E14</f>
        <v>45175</v>
      </c>
      <c r="F5" s="41"/>
      <c r="G5" s="40">
        <f>G14</f>
        <v>45176</v>
      </c>
      <c r="H5" s="41"/>
      <c r="I5" s="40">
        <f>I14</f>
        <v>45177</v>
      </c>
      <c r="J5" s="41"/>
      <c r="K5" s="40">
        <f>K14</f>
        <v>45178</v>
      </c>
      <c r="L5" s="41"/>
      <c r="M5" s="40">
        <f>M14</f>
        <v>45179</v>
      </c>
      <c r="N5" s="41"/>
    </row>
    <row r="6" spans="1:14" ht="18" customHeight="1">
      <c r="A6" s="2" t="str">
        <f>IF(WEEKDAY($A$1,1)=startday,$A$1,"")</f>
        <v/>
      </c>
      <c r="B6" s="3"/>
      <c r="C6" s="2" t="str">
        <f>IF(A6="",IF(WEEKDAY($A$1,1)=MOD(startday,7)+1,$A$1,""),A6+1)</f>
        <v/>
      </c>
      <c r="D6" s="3"/>
      <c r="E6" s="2" t="str">
        <f>IF(C6="",IF(WEEKDAY($A$1,1)=MOD(startday,7)+2,$A$1,""),C6+1)</f>
        <v/>
      </c>
      <c r="F6" s="3"/>
      <c r="G6" s="2" t="str">
        <f>IF(E6="",IF(WEEKDAY($A$1,1)=MOD(startday,7)+3,$A$1,""),E6+1)</f>
        <v/>
      </c>
      <c r="H6" s="3"/>
      <c r="I6" s="2">
        <f>IF(G6="",IF(WEEKDAY($A$1,1)=MOD(startday,7)+4,$A$1,""),G6+1)</f>
        <v>45170</v>
      </c>
      <c r="J6" s="3"/>
      <c r="K6" s="4">
        <f>IF(I6="",IF(WEEKDAY($A$1,1)=MOD(startday,7)+5,$A$1,""),I6+1)</f>
        <v>45171</v>
      </c>
      <c r="L6" s="5"/>
      <c r="M6" s="4">
        <f>IF(K6="",IF(WEEKDAY($A$1,1)=MOD(startday+5,7)+1,$A$1,""),K6+1)</f>
        <v>45172</v>
      </c>
      <c r="N6" s="5"/>
    </row>
    <row r="7" spans="1:14" ht="14.1">
      <c r="A7" s="29"/>
      <c r="B7" s="20"/>
      <c r="C7" s="44" t="s">
        <v>11</v>
      </c>
      <c r="D7" s="20"/>
      <c r="E7" s="29" t="s">
        <v>10</v>
      </c>
      <c r="F7" s="20"/>
      <c r="G7" s="44" t="s">
        <v>11</v>
      </c>
      <c r="H7" s="20"/>
      <c r="I7" s="44" t="s">
        <v>49</v>
      </c>
      <c r="J7" s="20"/>
      <c r="K7" s="44" t="s">
        <v>50</v>
      </c>
      <c r="L7" s="20"/>
      <c r="M7" s="44" t="s">
        <v>50</v>
      </c>
      <c r="N7" s="20"/>
    </row>
    <row r="8" spans="1:14" ht="14.1">
      <c r="A8" s="27"/>
      <c r="B8" s="20"/>
      <c r="C8" s="26" t="s">
        <v>25</v>
      </c>
      <c r="D8" s="20"/>
      <c r="E8" s="26" t="s">
        <v>25</v>
      </c>
      <c r="F8" s="20"/>
      <c r="G8" s="26" t="s">
        <v>25</v>
      </c>
      <c r="H8" s="20"/>
      <c r="I8" s="26" t="s">
        <v>25</v>
      </c>
      <c r="J8" s="20"/>
      <c r="K8" s="26" t="s">
        <v>25</v>
      </c>
      <c r="L8" s="20"/>
      <c r="M8" s="26" t="s">
        <v>25</v>
      </c>
      <c r="N8" s="20"/>
    </row>
    <row r="9" spans="1:14" ht="14.1">
      <c r="A9" s="19"/>
      <c r="B9" s="20"/>
      <c r="C9" s="35" t="s">
        <v>9</v>
      </c>
      <c r="D9" s="20"/>
      <c r="E9" s="35" t="s">
        <v>9</v>
      </c>
      <c r="F9" s="20"/>
      <c r="G9" s="35" t="s">
        <v>9</v>
      </c>
      <c r="H9" s="20"/>
      <c r="I9" s="35" t="s">
        <v>11</v>
      </c>
      <c r="J9" s="20"/>
      <c r="K9" s="35" t="s">
        <v>11</v>
      </c>
      <c r="L9" s="20"/>
      <c r="M9" s="35" t="s">
        <v>11</v>
      </c>
      <c r="N9" s="20"/>
    </row>
    <row r="10" spans="1:14" ht="14.1">
      <c r="A10" s="21"/>
      <c r="B10" s="20"/>
      <c r="C10" s="30" t="s">
        <v>24</v>
      </c>
      <c r="D10" s="20"/>
      <c r="E10" s="30" t="s">
        <v>24</v>
      </c>
      <c r="F10" s="20"/>
      <c r="G10" s="30" t="s">
        <v>15</v>
      </c>
      <c r="H10" s="20"/>
      <c r="I10" s="30" t="s">
        <v>24</v>
      </c>
      <c r="J10" s="20"/>
      <c r="K10" s="30" t="s">
        <v>24</v>
      </c>
      <c r="L10" s="20"/>
      <c r="M10" s="30" t="s">
        <v>24</v>
      </c>
      <c r="N10" s="20"/>
    </row>
    <row r="11" spans="1:14" ht="14.1">
      <c r="A11" s="56"/>
      <c r="B11" s="20"/>
      <c r="C11" s="57" t="s">
        <v>13</v>
      </c>
      <c r="D11" s="20"/>
      <c r="E11" s="57" t="s">
        <v>13</v>
      </c>
      <c r="F11" s="20"/>
      <c r="G11" s="57" t="s">
        <v>13</v>
      </c>
      <c r="H11" s="20"/>
      <c r="I11" s="57" t="s">
        <v>13</v>
      </c>
      <c r="J11" s="20"/>
      <c r="K11" s="57" t="s">
        <v>13</v>
      </c>
      <c r="L11" s="20"/>
      <c r="M11" s="57" t="s">
        <v>13</v>
      </c>
      <c r="N11" s="20"/>
    </row>
    <row r="12" spans="1:14" ht="14.1">
      <c r="A12" s="23"/>
      <c r="B12" s="20"/>
      <c r="C12" s="22" t="s">
        <v>239</v>
      </c>
      <c r="D12" s="20"/>
      <c r="E12" s="23" t="s">
        <v>240</v>
      </c>
      <c r="F12" s="20"/>
      <c r="G12" s="22" t="s">
        <v>239</v>
      </c>
      <c r="H12" s="20"/>
      <c r="I12" s="22" t="s">
        <v>239</v>
      </c>
      <c r="J12" s="20"/>
      <c r="K12" s="22" t="s">
        <v>19</v>
      </c>
      <c r="L12" s="20"/>
      <c r="M12" s="22" t="s">
        <v>19</v>
      </c>
      <c r="N12" s="20"/>
    </row>
    <row r="13" spans="1:14" ht="18" customHeight="1">
      <c r="A13" s="25"/>
      <c r="B13" s="20"/>
      <c r="C13" s="31" t="s">
        <v>50</v>
      </c>
      <c r="D13" s="24"/>
      <c r="E13" s="25" t="s">
        <v>50</v>
      </c>
      <c r="F13" s="20"/>
      <c r="G13" s="31" t="s">
        <v>30</v>
      </c>
      <c r="H13" s="24"/>
      <c r="I13" s="31" t="s">
        <v>30</v>
      </c>
      <c r="J13" s="24"/>
      <c r="K13" s="31" t="s">
        <v>30</v>
      </c>
      <c r="L13" s="24"/>
      <c r="M13" s="31" t="s">
        <v>30</v>
      </c>
      <c r="N13" s="24"/>
    </row>
    <row r="14" spans="1:14" ht="18" customHeight="1">
      <c r="A14" s="2">
        <f>M6+1</f>
        <v>45173</v>
      </c>
      <c r="B14" s="3"/>
      <c r="C14" s="2">
        <f>A14+1</f>
        <v>45174</v>
      </c>
      <c r="D14" s="3"/>
      <c r="E14" s="2">
        <f>C14+1</f>
        <v>45175</v>
      </c>
      <c r="F14" s="3"/>
      <c r="G14" s="2">
        <f>E14+1</f>
        <v>45176</v>
      </c>
      <c r="H14" s="3"/>
      <c r="I14" s="2">
        <f>G14+1</f>
        <v>45177</v>
      </c>
      <c r="J14" s="3"/>
      <c r="K14" s="4">
        <f>I14+1</f>
        <v>45178</v>
      </c>
      <c r="L14" s="5"/>
      <c r="M14" s="4">
        <f>K14+1</f>
        <v>45179</v>
      </c>
      <c r="N14" s="5"/>
    </row>
    <row r="15" spans="1:14" ht="14.1">
      <c r="A15" s="29" t="s">
        <v>93</v>
      </c>
      <c r="B15" s="20"/>
      <c r="C15" s="44" t="s">
        <v>50</v>
      </c>
      <c r="D15" s="20"/>
      <c r="E15" s="29" t="s">
        <v>50</v>
      </c>
      <c r="F15" s="20"/>
      <c r="G15" s="44" t="s">
        <v>50</v>
      </c>
      <c r="H15" s="20"/>
      <c r="I15" s="44" t="s">
        <v>10</v>
      </c>
      <c r="J15" s="20"/>
      <c r="K15" s="44" t="s">
        <v>11</v>
      </c>
      <c r="L15" s="20"/>
      <c r="M15" s="44" t="s">
        <v>11</v>
      </c>
      <c r="N15" s="20"/>
    </row>
    <row r="16" spans="1:14" ht="14.1">
      <c r="A16" s="27" t="s">
        <v>16</v>
      </c>
      <c r="B16" s="20"/>
      <c r="C16" s="27" t="s">
        <v>16</v>
      </c>
      <c r="D16" s="20"/>
      <c r="E16" s="27" t="s">
        <v>16</v>
      </c>
      <c r="F16" s="20"/>
      <c r="G16" s="27" t="s">
        <v>16</v>
      </c>
      <c r="H16" s="20"/>
      <c r="I16" s="27" t="s">
        <v>16</v>
      </c>
      <c r="J16" s="20"/>
      <c r="K16" s="27" t="s">
        <v>16</v>
      </c>
      <c r="L16" s="20"/>
      <c r="M16" s="27" t="s">
        <v>16</v>
      </c>
      <c r="N16" s="20"/>
    </row>
    <row r="17" spans="1:14" ht="14.1">
      <c r="A17" s="19" t="s">
        <v>11</v>
      </c>
      <c r="B17" s="20"/>
      <c r="C17" s="35" t="s">
        <v>11</v>
      </c>
      <c r="D17" s="20"/>
      <c r="E17" s="19" t="s">
        <v>31</v>
      </c>
      <c r="F17" s="20"/>
      <c r="G17" s="35" t="s">
        <v>31</v>
      </c>
      <c r="H17" s="20"/>
      <c r="I17" s="35" t="s">
        <v>88</v>
      </c>
      <c r="J17" s="20"/>
      <c r="K17" s="35" t="s">
        <v>82</v>
      </c>
      <c r="L17" s="20"/>
      <c r="M17" s="35" t="s">
        <v>82</v>
      </c>
      <c r="N17" s="20"/>
    </row>
    <row r="18" spans="1:14" ht="14.1">
      <c r="A18" s="21" t="s">
        <v>15</v>
      </c>
      <c r="B18" s="20"/>
      <c r="C18" s="21" t="s">
        <v>15</v>
      </c>
      <c r="D18" s="20"/>
      <c r="E18" s="21" t="s">
        <v>15</v>
      </c>
      <c r="F18" s="20"/>
      <c r="G18" s="21" t="s">
        <v>24</v>
      </c>
      <c r="H18" s="20"/>
      <c r="I18" s="21" t="s">
        <v>15</v>
      </c>
      <c r="J18" s="20"/>
      <c r="K18" s="21" t="s">
        <v>15</v>
      </c>
      <c r="L18" s="20"/>
      <c r="M18" s="21" t="s">
        <v>15</v>
      </c>
      <c r="N18" s="20"/>
    </row>
    <row r="19" spans="1:14" ht="14.1">
      <c r="A19" s="56" t="s">
        <v>25</v>
      </c>
      <c r="B19" s="20"/>
      <c r="C19" s="56" t="s">
        <v>25</v>
      </c>
      <c r="D19" s="20"/>
      <c r="E19" s="56" t="s">
        <v>25</v>
      </c>
      <c r="F19" s="20"/>
      <c r="G19" s="56" t="s">
        <v>25</v>
      </c>
      <c r="H19" s="20"/>
      <c r="I19" s="56" t="s">
        <v>25</v>
      </c>
      <c r="J19" s="20"/>
      <c r="K19" s="56" t="s">
        <v>25</v>
      </c>
      <c r="L19" s="20"/>
      <c r="M19" s="56" t="s">
        <v>25</v>
      </c>
      <c r="N19" s="20"/>
    </row>
    <row r="20" spans="1:14" ht="14.1">
      <c r="A20" s="23" t="s">
        <v>26</v>
      </c>
      <c r="B20" s="20"/>
      <c r="C20" s="22" t="s">
        <v>26</v>
      </c>
      <c r="D20" s="20"/>
      <c r="E20" s="23" t="s">
        <v>240</v>
      </c>
      <c r="F20" s="20"/>
      <c r="G20" s="22" t="s">
        <v>247</v>
      </c>
      <c r="H20" s="20"/>
      <c r="I20" s="22" t="s">
        <v>17</v>
      </c>
      <c r="J20" s="20"/>
      <c r="K20" s="22" t="s">
        <v>17</v>
      </c>
      <c r="L20" s="20"/>
      <c r="M20" s="22" t="s">
        <v>17</v>
      </c>
      <c r="N20" s="20"/>
    </row>
    <row r="21" spans="1:14" ht="18" customHeight="1">
      <c r="A21" s="25" t="s">
        <v>241</v>
      </c>
      <c r="B21" s="20"/>
      <c r="C21" s="25" t="s">
        <v>241</v>
      </c>
      <c r="D21" s="20"/>
      <c r="E21" s="25" t="s">
        <v>30</v>
      </c>
      <c r="F21" s="20"/>
      <c r="G21" s="25" t="s">
        <v>30</v>
      </c>
      <c r="H21" s="20"/>
      <c r="I21" s="25" t="s">
        <v>241</v>
      </c>
      <c r="J21" s="20"/>
      <c r="K21" s="25" t="s">
        <v>41</v>
      </c>
      <c r="L21" s="20"/>
      <c r="M21" s="25" t="s">
        <v>41</v>
      </c>
      <c r="N21" s="20"/>
    </row>
    <row r="22" spans="1:14" ht="18" customHeight="1">
      <c r="A22" s="2">
        <f>M14+1</f>
        <v>45180</v>
      </c>
      <c r="B22" s="3"/>
      <c r="C22" s="2">
        <f>A22+1</f>
        <v>45181</v>
      </c>
      <c r="D22" s="3"/>
      <c r="E22" s="2">
        <f>C22+1</f>
        <v>45182</v>
      </c>
      <c r="F22" s="3"/>
      <c r="G22" s="2">
        <f>E22+1</f>
        <v>45183</v>
      </c>
      <c r="H22" s="3"/>
      <c r="I22" s="2">
        <f>G22+1</f>
        <v>45184</v>
      </c>
      <c r="J22" s="3"/>
      <c r="K22" s="4">
        <f>I22+1</f>
        <v>45185</v>
      </c>
      <c r="L22" s="5"/>
      <c r="M22" s="4">
        <f>K22+1</f>
        <v>45186</v>
      </c>
      <c r="N22" s="5"/>
    </row>
    <row r="23" spans="1:14" ht="14.1">
      <c r="A23" s="29" t="s">
        <v>10</v>
      </c>
      <c r="B23" s="20"/>
      <c r="C23" s="44" t="s">
        <v>11</v>
      </c>
      <c r="D23" s="20"/>
      <c r="E23" s="29" t="s">
        <v>83</v>
      </c>
      <c r="F23" s="20"/>
      <c r="G23" s="44" t="s">
        <v>11</v>
      </c>
      <c r="H23" s="20"/>
      <c r="I23" s="44" t="s">
        <v>105</v>
      </c>
      <c r="J23" s="20"/>
      <c r="K23" s="44" t="s">
        <v>24</v>
      </c>
      <c r="L23" s="20"/>
      <c r="M23" s="44" t="s">
        <v>24</v>
      </c>
      <c r="N23" s="20"/>
    </row>
    <row r="24" spans="1:14" ht="14.1">
      <c r="A24" s="27" t="s">
        <v>54</v>
      </c>
      <c r="B24" s="20"/>
      <c r="C24" s="27" t="s">
        <v>54</v>
      </c>
      <c r="D24" s="20"/>
      <c r="E24" s="27" t="s">
        <v>54</v>
      </c>
      <c r="F24" s="20"/>
      <c r="G24" s="27" t="s">
        <v>54</v>
      </c>
      <c r="H24" s="20"/>
      <c r="I24" s="27" t="s">
        <v>54</v>
      </c>
      <c r="J24" s="20"/>
      <c r="K24" s="27" t="s">
        <v>54</v>
      </c>
      <c r="L24" s="20"/>
      <c r="M24" s="27" t="s">
        <v>54</v>
      </c>
      <c r="N24" s="20"/>
    </row>
    <row r="25" spans="1:14" ht="14.1">
      <c r="A25" s="19" t="s">
        <v>53</v>
      </c>
      <c r="B25" s="20"/>
      <c r="C25" s="35" t="s">
        <v>9</v>
      </c>
      <c r="D25" s="20"/>
      <c r="E25" s="19" t="s">
        <v>9</v>
      </c>
      <c r="F25" s="20"/>
      <c r="G25" s="35" t="s">
        <v>9</v>
      </c>
      <c r="H25" s="20"/>
      <c r="I25" s="35" t="s">
        <v>11</v>
      </c>
      <c r="J25" s="20"/>
      <c r="K25" s="35" t="s">
        <v>248</v>
      </c>
      <c r="L25" s="20"/>
      <c r="M25" s="35" t="s">
        <v>218</v>
      </c>
      <c r="N25" s="20"/>
    </row>
    <row r="26" spans="1:14" ht="14.1">
      <c r="A26" s="21" t="s">
        <v>24</v>
      </c>
      <c r="B26" s="20"/>
      <c r="C26" s="21" t="s">
        <v>24</v>
      </c>
      <c r="D26" s="20"/>
      <c r="E26" s="21" t="s">
        <v>24</v>
      </c>
      <c r="F26" s="20"/>
      <c r="G26" s="21" t="s">
        <v>24</v>
      </c>
      <c r="H26" s="20"/>
      <c r="I26" s="21" t="s">
        <v>24</v>
      </c>
      <c r="J26" s="20"/>
      <c r="K26" s="21" t="s">
        <v>24</v>
      </c>
      <c r="L26" s="20"/>
      <c r="M26" s="21" t="s">
        <v>24</v>
      </c>
      <c r="N26" s="20"/>
    </row>
    <row r="27" spans="1:14" ht="14.1">
      <c r="A27" s="56" t="s">
        <v>13</v>
      </c>
      <c r="B27" s="20"/>
      <c r="C27" s="56" t="s">
        <v>13</v>
      </c>
      <c r="D27" s="20"/>
      <c r="E27" s="56" t="s">
        <v>13</v>
      </c>
      <c r="F27" s="20"/>
      <c r="G27" s="56" t="s">
        <v>13</v>
      </c>
      <c r="H27" s="20"/>
      <c r="I27" s="56" t="s">
        <v>13</v>
      </c>
      <c r="J27" s="20"/>
      <c r="K27" s="56" t="s">
        <v>13</v>
      </c>
      <c r="L27" s="20"/>
      <c r="M27" s="56" t="s">
        <v>13</v>
      </c>
      <c r="N27" s="20"/>
    </row>
    <row r="28" spans="1:14" ht="14.1">
      <c r="A28" s="23" t="s">
        <v>239</v>
      </c>
      <c r="B28" s="20"/>
      <c r="C28" s="22" t="s">
        <v>239</v>
      </c>
      <c r="D28" s="20"/>
      <c r="E28" s="23" t="s">
        <v>240</v>
      </c>
      <c r="F28" s="20"/>
      <c r="G28" s="22" t="s">
        <v>26</v>
      </c>
      <c r="H28" s="20"/>
      <c r="I28" s="22" t="s">
        <v>26</v>
      </c>
      <c r="J28" s="20"/>
      <c r="K28" s="22" t="s">
        <v>26</v>
      </c>
      <c r="L28" s="20"/>
      <c r="M28" s="22" t="s">
        <v>26</v>
      </c>
      <c r="N28" s="20"/>
    </row>
    <row r="29" spans="1:14" ht="18" customHeight="1">
      <c r="A29" s="25" t="s">
        <v>50</v>
      </c>
      <c r="B29" s="20"/>
      <c r="C29" s="25" t="s">
        <v>50</v>
      </c>
      <c r="D29" s="20"/>
      <c r="E29" s="25" t="s">
        <v>50</v>
      </c>
      <c r="F29" s="20"/>
      <c r="G29" s="31" t="s">
        <v>249</v>
      </c>
      <c r="H29" s="24"/>
      <c r="I29" s="31" t="s">
        <v>242</v>
      </c>
      <c r="J29" s="24"/>
      <c r="K29" s="31" t="s">
        <v>74</v>
      </c>
      <c r="L29" s="24"/>
      <c r="M29" s="31" t="s">
        <v>74</v>
      </c>
      <c r="N29" s="24"/>
    </row>
    <row r="30" spans="1:14" ht="18" customHeight="1">
      <c r="A30" s="2">
        <f>M22+1</f>
        <v>45187</v>
      </c>
      <c r="B30" s="3"/>
      <c r="C30" s="2">
        <f>A30+1</f>
        <v>45188</v>
      </c>
      <c r="D30" s="3"/>
      <c r="E30" s="2">
        <f>C30+1</f>
        <v>45189</v>
      </c>
      <c r="F30" s="3"/>
      <c r="G30" s="2">
        <f>E30+1</f>
        <v>45190</v>
      </c>
      <c r="H30" s="3"/>
      <c r="I30" s="2">
        <f>G30+1</f>
        <v>45191</v>
      </c>
      <c r="J30" s="3"/>
      <c r="K30" s="4">
        <f>I30+1</f>
        <v>45192</v>
      </c>
      <c r="L30" s="5"/>
      <c r="M30" s="4">
        <f>K30+1</f>
        <v>45193</v>
      </c>
      <c r="N30" s="5"/>
    </row>
    <row r="31" spans="1:14" ht="14.1">
      <c r="A31" s="29" t="s">
        <v>85</v>
      </c>
      <c r="B31" s="20"/>
      <c r="C31" s="44" t="s">
        <v>24</v>
      </c>
      <c r="D31" s="20"/>
      <c r="E31" s="29" t="s">
        <v>135</v>
      </c>
      <c r="F31" s="20"/>
      <c r="G31" s="44" t="s">
        <v>24</v>
      </c>
      <c r="H31" s="20"/>
      <c r="I31" s="44" t="s">
        <v>92</v>
      </c>
      <c r="J31" s="20"/>
      <c r="K31" s="44" t="s">
        <v>9</v>
      </c>
      <c r="L31" s="20"/>
      <c r="M31" s="44" t="s">
        <v>9</v>
      </c>
      <c r="N31" s="20"/>
    </row>
    <row r="32" spans="1:14" ht="14.1">
      <c r="A32" s="27" t="s">
        <v>51</v>
      </c>
      <c r="B32" s="20"/>
      <c r="C32" s="27" t="s">
        <v>51</v>
      </c>
      <c r="D32" s="20"/>
      <c r="E32" s="27" t="s">
        <v>51</v>
      </c>
      <c r="F32" s="20"/>
      <c r="G32" s="27" t="s">
        <v>51</v>
      </c>
      <c r="H32" s="20"/>
      <c r="I32" s="27" t="s">
        <v>51</v>
      </c>
      <c r="J32" s="20"/>
      <c r="K32" s="27" t="s">
        <v>51</v>
      </c>
      <c r="L32" s="20"/>
      <c r="M32" s="27" t="s">
        <v>51</v>
      </c>
      <c r="N32" s="20"/>
    </row>
    <row r="33" spans="1:14" ht="14.1">
      <c r="A33" s="19" t="s">
        <v>9</v>
      </c>
      <c r="B33" s="20"/>
      <c r="C33" s="35" t="s">
        <v>31</v>
      </c>
      <c r="D33" s="20"/>
      <c r="E33" s="19" t="s">
        <v>53</v>
      </c>
      <c r="F33" s="20"/>
      <c r="G33" s="35" t="s">
        <v>9</v>
      </c>
      <c r="H33" s="20"/>
      <c r="I33" s="35" t="s">
        <v>13</v>
      </c>
      <c r="J33" s="20"/>
      <c r="K33" s="35" t="s">
        <v>55</v>
      </c>
      <c r="L33" s="20"/>
      <c r="M33" s="35" t="s">
        <v>55</v>
      </c>
      <c r="N33" s="20"/>
    </row>
    <row r="34" spans="1:14" ht="14.1">
      <c r="A34" s="21" t="s">
        <v>15</v>
      </c>
      <c r="B34" s="20"/>
      <c r="C34" s="21" t="s">
        <v>15</v>
      </c>
      <c r="D34" s="20"/>
      <c r="E34" s="21" t="s">
        <v>15</v>
      </c>
      <c r="F34" s="20"/>
      <c r="G34" s="21" t="s">
        <v>15</v>
      </c>
      <c r="H34" s="20"/>
      <c r="I34" s="21" t="s">
        <v>15</v>
      </c>
      <c r="J34" s="20"/>
      <c r="K34" s="21" t="s">
        <v>15</v>
      </c>
      <c r="L34" s="20"/>
      <c r="M34" s="21" t="s">
        <v>15</v>
      </c>
      <c r="N34" s="20"/>
    </row>
    <row r="35" spans="1:14" ht="14.1">
      <c r="A35" s="56" t="s">
        <v>16</v>
      </c>
      <c r="B35" s="20"/>
      <c r="C35" s="56" t="s">
        <v>16</v>
      </c>
      <c r="D35" s="20"/>
      <c r="E35" s="56" t="s">
        <v>16</v>
      </c>
      <c r="F35" s="20"/>
      <c r="G35" s="56" t="s">
        <v>16</v>
      </c>
      <c r="H35" s="20"/>
      <c r="I35" s="56" t="s">
        <v>16</v>
      </c>
      <c r="J35" s="20"/>
      <c r="K35" s="56" t="s">
        <v>43</v>
      </c>
      <c r="L35" s="20"/>
      <c r="M35" s="56" t="s">
        <v>43</v>
      </c>
      <c r="N35" s="20"/>
    </row>
    <row r="36" spans="1:14" ht="14.1">
      <c r="A36" s="23" t="s">
        <v>17</v>
      </c>
      <c r="B36" s="20"/>
      <c r="C36" s="23" t="s">
        <v>250</v>
      </c>
      <c r="D36" s="20"/>
      <c r="E36" s="23" t="s">
        <v>240</v>
      </c>
      <c r="F36" s="20"/>
      <c r="G36" s="23" t="s">
        <v>17</v>
      </c>
      <c r="H36" s="20"/>
      <c r="I36" s="23" t="s">
        <v>240</v>
      </c>
      <c r="J36" s="20"/>
      <c r="K36" s="23" t="s">
        <v>36</v>
      </c>
      <c r="L36" s="20"/>
      <c r="M36" s="23" t="s">
        <v>36</v>
      </c>
      <c r="N36" s="20"/>
    </row>
    <row r="37" spans="1:14" ht="18" customHeight="1">
      <c r="A37" s="25" t="s">
        <v>242</v>
      </c>
      <c r="B37" s="20"/>
      <c r="C37" s="31" t="s">
        <v>50</v>
      </c>
      <c r="D37" s="24"/>
      <c r="E37" s="31" t="s">
        <v>50</v>
      </c>
      <c r="F37" s="24"/>
      <c r="G37" s="31" t="s">
        <v>242</v>
      </c>
      <c r="H37" s="24"/>
      <c r="I37" s="31" t="s">
        <v>50</v>
      </c>
      <c r="J37" s="24"/>
      <c r="K37" s="31" t="s">
        <v>50</v>
      </c>
      <c r="L37" s="24"/>
      <c r="M37" s="31" t="s">
        <v>50</v>
      </c>
      <c r="N37" s="24"/>
    </row>
    <row r="38" spans="1:14" ht="18" customHeight="1">
      <c r="A38" s="2">
        <f>IF(M30="","",IF(MONTH(M30+1)&lt;&gt;MONTH($A$1),"",M30+1))</f>
        <v>45194</v>
      </c>
      <c r="B38" s="3"/>
      <c r="C38" s="2">
        <f>IF(A38="","",IF(MONTH(A38+1)&lt;&gt;MONTH($A$1),"",A38+1))</f>
        <v>45195</v>
      </c>
      <c r="D38" s="3"/>
      <c r="E38" s="2">
        <f>IF(C38="","",IF(MONTH(C38+1)&lt;&gt;MONTH($A$1),"",C38+1))</f>
        <v>45196</v>
      </c>
      <c r="F38" s="3"/>
      <c r="G38" s="2">
        <f>IF(E38="","",IF(MONTH(E38+1)&lt;&gt;MONTH($A$1),"",E38+1))</f>
        <v>45197</v>
      </c>
      <c r="H38" s="3"/>
      <c r="I38" s="2">
        <f>IF(G38="","",IF(MONTH(G38+1)&lt;&gt;MONTH($A$1),"",G38+1))</f>
        <v>45198</v>
      </c>
      <c r="J38" s="3"/>
      <c r="K38" s="4">
        <f>IF(I38="","",IF(MONTH(I38+1)&lt;&gt;MONTH($A$1),"",I38+1))</f>
        <v>45199</v>
      </c>
      <c r="L38" s="5"/>
      <c r="M38" s="4" t="str">
        <f>IF(K38="","",IF(MONTH(K38+1)&lt;&gt;MONTH($A$1),"",K38+1))</f>
        <v/>
      </c>
      <c r="N38" s="5"/>
    </row>
    <row r="39" spans="1:14" ht="14.1">
      <c r="A39" s="29" t="s">
        <v>92</v>
      </c>
      <c r="B39" s="20"/>
      <c r="C39" s="44" t="s">
        <v>9</v>
      </c>
      <c r="D39" s="20"/>
      <c r="E39" s="29" t="s">
        <v>53</v>
      </c>
      <c r="F39" s="20"/>
      <c r="G39" s="44"/>
      <c r="H39" s="20"/>
      <c r="I39" s="44"/>
      <c r="J39" s="20"/>
      <c r="K39" s="44"/>
      <c r="L39" s="20"/>
      <c r="M39" s="44"/>
      <c r="N39" s="20"/>
    </row>
    <row r="40" spans="1:14" ht="14.1">
      <c r="A40" s="27" t="s">
        <v>38</v>
      </c>
      <c r="B40" s="20"/>
      <c r="C40" s="27" t="s">
        <v>38</v>
      </c>
      <c r="D40" s="20"/>
      <c r="E40" s="27" t="s">
        <v>38</v>
      </c>
      <c r="F40" s="20"/>
      <c r="G40" s="26"/>
      <c r="H40" s="20"/>
      <c r="I40" s="26"/>
      <c r="J40" s="20"/>
      <c r="K40" s="26"/>
      <c r="L40" s="20"/>
      <c r="M40" s="26"/>
      <c r="N40" s="20"/>
    </row>
    <row r="41" spans="1:14" ht="14.1">
      <c r="A41" s="19" t="s">
        <v>13</v>
      </c>
      <c r="B41" s="20"/>
      <c r="C41" s="35" t="s">
        <v>13</v>
      </c>
      <c r="D41" s="20"/>
      <c r="E41" s="19" t="s">
        <v>112</v>
      </c>
      <c r="F41" s="20"/>
      <c r="G41" s="35"/>
      <c r="H41" s="20"/>
      <c r="I41" s="35"/>
      <c r="J41" s="20"/>
      <c r="K41" s="35"/>
      <c r="L41" s="20"/>
      <c r="M41" s="35"/>
      <c r="N41" s="20"/>
    </row>
    <row r="42" spans="1:14" ht="14.1">
      <c r="A42" s="21" t="s">
        <v>24</v>
      </c>
      <c r="B42" s="20"/>
      <c r="C42" s="21" t="s">
        <v>24</v>
      </c>
      <c r="D42" s="20"/>
      <c r="E42" s="21" t="s">
        <v>24</v>
      </c>
      <c r="F42" s="20"/>
      <c r="G42" s="30"/>
      <c r="H42" s="20"/>
      <c r="I42" s="30"/>
      <c r="J42" s="20"/>
      <c r="K42" s="30"/>
      <c r="L42" s="20"/>
      <c r="M42" s="30"/>
      <c r="N42" s="20"/>
    </row>
    <row r="43" spans="1:14" ht="14.1">
      <c r="A43" s="56" t="s">
        <v>43</v>
      </c>
      <c r="B43" s="20"/>
      <c r="C43" s="57" t="s">
        <v>43</v>
      </c>
      <c r="D43" s="20"/>
      <c r="E43" s="56" t="s">
        <v>43</v>
      </c>
      <c r="F43" s="20"/>
      <c r="G43" s="57"/>
      <c r="H43" s="20"/>
      <c r="I43" s="57"/>
      <c r="J43" s="20"/>
      <c r="K43" s="57"/>
      <c r="L43" s="20"/>
      <c r="M43" s="57"/>
      <c r="N43" s="20"/>
    </row>
    <row r="44" spans="1:14" ht="14.1">
      <c r="A44" s="23" t="s">
        <v>17</v>
      </c>
      <c r="B44" s="20"/>
      <c r="C44" s="22" t="s">
        <v>17</v>
      </c>
      <c r="D44" s="20"/>
      <c r="E44" s="23" t="s">
        <v>240</v>
      </c>
      <c r="F44" s="20"/>
      <c r="G44" s="22"/>
      <c r="H44" s="20"/>
      <c r="I44" s="22"/>
      <c r="J44" s="20"/>
      <c r="K44" s="22"/>
      <c r="L44" s="20"/>
      <c r="M44" s="22"/>
      <c r="N44" s="20"/>
    </row>
    <row r="45" spans="1:14" ht="18" customHeight="1">
      <c r="A45" s="25" t="s">
        <v>241</v>
      </c>
      <c r="B45" s="20"/>
      <c r="C45" s="31" t="s">
        <v>241</v>
      </c>
      <c r="D45" s="24"/>
      <c r="E45" s="25" t="s">
        <v>30</v>
      </c>
      <c r="F45" s="20"/>
      <c r="G45" s="31"/>
      <c r="H45" s="24"/>
      <c r="I45" s="31"/>
      <c r="J45" s="24"/>
      <c r="K45" s="31"/>
      <c r="L45" s="24"/>
      <c r="M45" s="31"/>
      <c r="N45" s="24"/>
    </row>
    <row r="46" spans="1:14" ht="18" customHeight="1">
      <c r="A46" s="2" t="str">
        <f>IF(M38="","",IF(MONTH(M38+1)&lt;&gt;MONTH($A$1),"",M38+1))</f>
        <v/>
      </c>
      <c r="B46" s="3"/>
      <c r="C46" s="2" t="str">
        <f>IF(A46="","",IF(MONTH(A46+1)&lt;&gt;MONTH($A$1),"",A46+1))</f>
        <v/>
      </c>
      <c r="D46" s="3"/>
      <c r="E46" s="46" t="s">
        <v>22</v>
      </c>
      <c r="F46" s="47"/>
      <c r="G46" s="48"/>
      <c r="H46" s="47"/>
      <c r="I46" s="47"/>
      <c r="J46" s="47"/>
      <c r="K46" s="47"/>
      <c r="L46" s="47"/>
      <c r="M46" s="47"/>
      <c r="N46" s="49"/>
    </row>
    <row r="47" spans="1:14" ht="14.1">
      <c r="A47" s="29"/>
      <c r="B47" s="20"/>
      <c r="C47" s="44"/>
      <c r="D47" s="20"/>
      <c r="E47" s="45" t="s">
        <v>251</v>
      </c>
      <c r="F47" s="37"/>
      <c r="G47" s="37"/>
      <c r="H47" s="37"/>
      <c r="I47" s="37"/>
      <c r="J47" s="37"/>
      <c r="K47" s="37"/>
      <c r="L47" s="37"/>
      <c r="M47" s="37"/>
      <c r="N47" s="20"/>
    </row>
    <row r="48" spans="1:14" ht="14.1">
      <c r="A48" s="27"/>
      <c r="B48" s="20"/>
      <c r="C48" s="26"/>
      <c r="D48" s="20"/>
      <c r="E48" s="45"/>
      <c r="F48" s="37"/>
      <c r="G48" s="37"/>
      <c r="H48" s="37"/>
      <c r="I48" s="37"/>
      <c r="J48" s="37"/>
      <c r="K48" s="37"/>
      <c r="L48" s="37"/>
      <c r="M48" s="37"/>
      <c r="N48" s="20"/>
    </row>
    <row r="49" spans="1:14" ht="14.1">
      <c r="A49" s="19"/>
      <c r="B49" s="20"/>
      <c r="C49" s="35"/>
      <c r="D49" s="20"/>
      <c r="E49" s="45"/>
      <c r="F49" s="37"/>
      <c r="G49" s="37"/>
      <c r="H49" s="37"/>
      <c r="I49" s="37"/>
      <c r="J49" s="37"/>
      <c r="K49" s="37"/>
      <c r="L49" s="37"/>
      <c r="M49" s="37"/>
      <c r="N49" s="20"/>
    </row>
    <row r="50" spans="1:14" ht="14.1">
      <c r="A50" s="21"/>
      <c r="B50" s="20"/>
      <c r="C50" s="30"/>
      <c r="D50" s="20"/>
      <c r="E50" s="6"/>
      <c r="F50" s="7"/>
      <c r="G50" s="7"/>
      <c r="H50" s="7"/>
      <c r="I50" s="7"/>
      <c r="J50" s="7"/>
      <c r="K50" s="7"/>
      <c r="L50" s="7"/>
      <c r="M50" s="7"/>
      <c r="N50" s="8"/>
    </row>
    <row r="51" spans="1:14" ht="14.1">
      <c r="A51" s="56"/>
      <c r="B51" s="20"/>
      <c r="C51" s="57"/>
      <c r="D51" s="20"/>
      <c r="E51" s="6"/>
      <c r="F51" s="7"/>
      <c r="G51" s="7"/>
      <c r="H51" s="7"/>
      <c r="I51" s="7"/>
      <c r="J51" s="7"/>
      <c r="K51" s="7"/>
      <c r="L51" s="7"/>
      <c r="M51" s="7"/>
      <c r="N51" s="8"/>
    </row>
    <row r="52" spans="1:14" ht="14.1">
      <c r="A52" s="23"/>
      <c r="B52" s="20"/>
      <c r="C52" s="22"/>
      <c r="D52" s="20"/>
      <c r="E52" s="6"/>
      <c r="F52" s="7"/>
      <c r="G52" s="7"/>
      <c r="H52" s="7"/>
      <c r="I52" s="7"/>
      <c r="J52" s="7"/>
      <c r="K52" s="7"/>
      <c r="L52" s="7"/>
      <c r="M52" s="7"/>
      <c r="N52" s="8"/>
    </row>
    <row r="53" spans="1:14" ht="14.1">
      <c r="A53" s="25"/>
      <c r="B53" s="20"/>
      <c r="C53" s="31"/>
      <c r="D53" s="24"/>
      <c r="E53" s="32" t="s">
        <v>23</v>
      </c>
      <c r="F53" s="33"/>
      <c r="G53" s="33"/>
      <c r="H53" s="33"/>
      <c r="I53" s="34" t="str">
        <f>HYPERLINK("https://www.vertex42.com/calendars/academic-calendar.html","https://www.vertex42.com/calendars/academic-calendar.html")</f>
        <v>https://www.vertex42.com/calendars/academic-calendar.html</v>
      </c>
      <c r="J53" s="33"/>
      <c r="K53" s="33"/>
      <c r="L53" s="33"/>
      <c r="M53" s="33"/>
      <c r="N53" s="24"/>
    </row>
  </sheetData>
  <mergeCells count="284">
    <mergeCell ref="A51:B51"/>
    <mergeCell ref="A52:B52"/>
    <mergeCell ref="C52:D52"/>
    <mergeCell ref="A53:B53"/>
    <mergeCell ref="C53:D53"/>
    <mergeCell ref="E53:H53"/>
    <mergeCell ref="I53:N53"/>
    <mergeCell ref="A48:B48"/>
    <mergeCell ref="A49:B49"/>
    <mergeCell ref="C49:D49"/>
    <mergeCell ref="E49:N49"/>
    <mergeCell ref="A50:B50"/>
    <mergeCell ref="C50:D50"/>
    <mergeCell ref="C51:D51"/>
    <mergeCell ref="A43:B43"/>
    <mergeCell ref="C43:D43"/>
    <mergeCell ref="E43:F43"/>
    <mergeCell ref="G43:H43"/>
    <mergeCell ref="I43:J43"/>
    <mergeCell ref="K43:L43"/>
    <mergeCell ref="M43:N43"/>
    <mergeCell ref="A44:B44"/>
    <mergeCell ref="C44:D44"/>
    <mergeCell ref="E44:F44"/>
    <mergeCell ref="G44:H44"/>
    <mergeCell ref="I44:J44"/>
    <mergeCell ref="K44:L44"/>
    <mergeCell ref="M44:N44"/>
    <mergeCell ref="K41:L41"/>
    <mergeCell ref="M41:N41"/>
    <mergeCell ref="A42:B42"/>
    <mergeCell ref="C42:D42"/>
    <mergeCell ref="E42:F42"/>
    <mergeCell ref="G42:H42"/>
    <mergeCell ref="I42:J42"/>
    <mergeCell ref="K42:L42"/>
    <mergeCell ref="M42:N42"/>
    <mergeCell ref="A47:B47"/>
    <mergeCell ref="C47:D47"/>
    <mergeCell ref="E47:N47"/>
    <mergeCell ref="C48:D48"/>
    <mergeCell ref="E48:N48"/>
    <mergeCell ref="A39:B39"/>
    <mergeCell ref="C39:D39"/>
    <mergeCell ref="E39:F39"/>
    <mergeCell ref="G39:H39"/>
    <mergeCell ref="I39:J39"/>
    <mergeCell ref="K39:L39"/>
    <mergeCell ref="M39:N39"/>
    <mergeCell ref="A40:B40"/>
    <mergeCell ref="C40:D40"/>
    <mergeCell ref="E40:F40"/>
    <mergeCell ref="G40:H40"/>
    <mergeCell ref="I40:J40"/>
    <mergeCell ref="K40:L40"/>
    <mergeCell ref="M40:N40"/>
    <mergeCell ref="A41:B41"/>
    <mergeCell ref="C41:D41"/>
    <mergeCell ref="E41:F41"/>
    <mergeCell ref="G41:H41"/>
    <mergeCell ref="I41:J41"/>
    <mergeCell ref="A45:B45"/>
    <mergeCell ref="C45:D45"/>
    <mergeCell ref="E45:F45"/>
    <mergeCell ref="G45:H45"/>
    <mergeCell ref="I45:J45"/>
    <mergeCell ref="K45:L45"/>
    <mergeCell ref="M45:N45"/>
    <mergeCell ref="E46:F46"/>
    <mergeCell ref="G46:N46"/>
    <mergeCell ref="A36:B36"/>
    <mergeCell ref="C36:D36"/>
    <mergeCell ref="E36:F36"/>
    <mergeCell ref="G36:H36"/>
    <mergeCell ref="I36:J36"/>
    <mergeCell ref="K36:L36"/>
    <mergeCell ref="M36:N36"/>
    <mergeCell ref="A37:B37"/>
    <mergeCell ref="C37:D37"/>
    <mergeCell ref="E37:F37"/>
    <mergeCell ref="G37:H37"/>
    <mergeCell ref="I37:J37"/>
    <mergeCell ref="K37:L37"/>
    <mergeCell ref="M37:N37"/>
    <mergeCell ref="A34:B34"/>
    <mergeCell ref="C34:D34"/>
    <mergeCell ref="E34:F34"/>
    <mergeCell ref="G34:H34"/>
    <mergeCell ref="I34:J34"/>
    <mergeCell ref="K34:L34"/>
    <mergeCell ref="M34:N34"/>
    <mergeCell ref="A35:B35"/>
    <mergeCell ref="C35:D35"/>
    <mergeCell ref="E35:F35"/>
    <mergeCell ref="G35:H35"/>
    <mergeCell ref="I35:J35"/>
    <mergeCell ref="K35:L35"/>
    <mergeCell ref="M35:N35"/>
    <mergeCell ref="A32:B32"/>
    <mergeCell ref="C32:D32"/>
    <mergeCell ref="E32:F32"/>
    <mergeCell ref="G32:H32"/>
    <mergeCell ref="I32:J32"/>
    <mergeCell ref="K32:L32"/>
    <mergeCell ref="M32:N32"/>
    <mergeCell ref="A33:B33"/>
    <mergeCell ref="C33:D33"/>
    <mergeCell ref="E33:F33"/>
    <mergeCell ref="G33:H33"/>
    <mergeCell ref="I33:J33"/>
    <mergeCell ref="K33:L33"/>
    <mergeCell ref="M33:N33"/>
    <mergeCell ref="A29:B29"/>
    <mergeCell ref="C29:D29"/>
    <mergeCell ref="E29:F29"/>
    <mergeCell ref="G29:H29"/>
    <mergeCell ref="I29:J29"/>
    <mergeCell ref="K29:L29"/>
    <mergeCell ref="M29:N29"/>
    <mergeCell ref="A31:B31"/>
    <mergeCell ref="C31:D31"/>
    <mergeCell ref="E31:F31"/>
    <mergeCell ref="G31:H31"/>
    <mergeCell ref="I31:J31"/>
    <mergeCell ref="K31:L31"/>
    <mergeCell ref="M31:N31"/>
    <mergeCell ref="A27:B27"/>
    <mergeCell ref="C27:D27"/>
    <mergeCell ref="E27:F27"/>
    <mergeCell ref="G27:H27"/>
    <mergeCell ref="I27:J27"/>
    <mergeCell ref="K27:L27"/>
    <mergeCell ref="M27:N27"/>
    <mergeCell ref="A28:B28"/>
    <mergeCell ref="C28:D28"/>
    <mergeCell ref="E28:F28"/>
    <mergeCell ref="G28:H28"/>
    <mergeCell ref="I28:J28"/>
    <mergeCell ref="K28:L28"/>
    <mergeCell ref="M28:N28"/>
    <mergeCell ref="A25:B25"/>
    <mergeCell ref="C25:D25"/>
    <mergeCell ref="E25:F25"/>
    <mergeCell ref="G25:H25"/>
    <mergeCell ref="I25:J25"/>
    <mergeCell ref="K25:L25"/>
    <mergeCell ref="M25:N25"/>
    <mergeCell ref="A26:B26"/>
    <mergeCell ref="C26:D26"/>
    <mergeCell ref="E26:F26"/>
    <mergeCell ref="G26:H26"/>
    <mergeCell ref="I26:J26"/>
    <mergeCell ref="K26:L26"/>
    <mergeCell ref="M26:N26"/>
    <mergeCell ref="A23:B23"/>
    <mergeCell ref="C23:D23"/>
    <mergeCell ref="E23:F23"/>
    <mergeCell ref="G23:H23"/>
    <mergeCell ref="I23:J23"/>
    <mergeCell ref="K23:L23"/>
    <mergeCell ref="M23:N23"/>
    <mergeCell ref="A24:B24"/>
    <mergeCell ref="C24:D24"/>
    <mergeCell ref="E24:F24"/>
    <mergeCell ref="G24:H24"/>
    <mergeCell ref="I24:J24"/>
    <mergeCell ref="K24:L24"/>
    <mergeCell ref="M24:N24"/>
    <mergeCell ref="A20:B20"/>
    <mergeCell ref="C20:D20"/>
    <mergeCell ref="E20:F20"/>
    <mergeCell ref="G20:H20"/>
    <mergeCell ref="I20:J20"/>
    <mergeCell ref="K20:L20"/>
    <mergeCell ref="M20:N20"/>
    <mergeCell ref="A21:B21"/>
    <mergeCell ref="C21:D21"/>
    <mergeCell ref="E21:F21"/>
    <mergeCell ref="G21:H21"/>
    <mergeCell ref="I21:J21"/>
    <mergeCell ref="K21:L21"/>
    <mergeCell ref="M21:N21"/>
    <mergeCell ref="A18:B18"/>
    <mergeCell ref="C18:D18"/>
    <mergeCell ref="E18:F18"/>
    <mergeCell ref="G18:H18"/>
    <mergeCell ref="I18:J18"/>
    <mergeCell ref="K18:L18"/>
    <mergeCell ref="M18:N18"/>
    <mergeCell ref="A19:B19"/>
    <mergeCell ref="C19:D19"/>
    <mergeCell ref="E19:F19"/>
    <mergeCell ref="G19:H19"/>
    <mergeCell ref="I19:J19"/>
    <mergeCell ref="K19:L19"/>
    <mergeCell ref="M19:N19"/>
    <mergeCell ref="A16:B16"/>
    <mergeCell ref="C16:D16"/>
    <mergeCell ref="E16:F16"/>
    <mergeCell ref="G16:H16"/>
    <mergeCell ref="I16:J16"/>
    <mergeCell ref="K16:L16"/>
    <mergeCell ref="M16:N16"/>
    <mergeCell ref="A17:B17"/>
    <mergeCell ref="C17:D17"/>
    <mergeCell ref="E17:F17"/>
    <mergeCell ref="G17:H17"/>
    <mergeCell ref="I17:J17"/>
    <mergeCell ref="K17:L17"/>
    <mergeCell ref="M17:N17"/>
    <mergeCell ref="A13:B13"/>
    <mergeCell ref="C13:D13"/>
    <mergeCell ref="E13:F13"/>
    <mergeCell ref="G13:H13"/>
    <mergeCell ref="I13:J13"/>
    <mergeCell ref="K13:L13"/>
    <mergeCell ref="M13:N13"/>
    <mergeCell ref="A15:B15"/>
    <mergeCell ref="C15:D15"/>
    <mergeCell ref="E15:F15"/>
    <mergeCell ref="G15:H15"/>
    <mergeCell ref="I15:J15"/>
    <mergeCell ref="K15:L15"/>
    <mergeCell ref="M15:N15"/>
    <mergeCell ref="K3:L3"/>
    <mergeCell ref="A7:B7"/>
    <mergeCell ref="C7:D7"/>
    <mergeCell ref="E7:F7"/>
    <mergeCell ref="G7:H7"/>
    <mergeCell ref="I7:J7"/>
    <mergeCell ref="K7:L7"/>
    <mergeCell ref="M7:N7"/>
    <mergeCell ref="A8:B8"/>
    <mergeCell ref="C8:D8"/>
    <mergeCell ref="E8:F8"/>
    <mergeCell ref="G8:H8"/>
    <mergeCell ref="I8:J8"/>
    <mergeCell ref="K8:L8"/>
    <mergeCell ref="M8:N8"/>
    <mergeCell ref="A1:B1"/>
    <mergeCell ref="K1:N1"/>
    <mergeCell ref="A2:N2"/>
    <mergeCell ref="A3:B3"/>
    <mergeCell ref="C3:D3"/>
    <mergeCell ref="E3:F3"/>
    <mergeCell ref="G3:H3"/>
    <mergeCell ref="A11:B11"/>
    <mergeCell ref="C11:D11"/>
    <mergeCell ref="E11:F11"/>
    <mergeCell ref="G11:H11"/>
    <mergeCell ref="I11:J11"/>
    <mergeCell ref="K11:L11"/>
    <mergeCell ref="M11:N11"/>
    <mergeCell ref="K5:L5"/>
    <mergeCell ref="M5:N5"/>
    <mergeCell ref="M3:N3"/>
    <mergeCell ref="A4:N4"/>
    <mergeCell ref="A5:B5"/>
    <mergeCell ref="C5:D5"/>
    <mergeCell ref="E5:F5"/>
    <mergeCell ref="G5:H5"/>
    <mergeCell ref="I5:J5"/>
    <mergeCell ref="I3:J3"/>
    <mergeCell ref="A12:B12"/>
    <mergeCell ref="C12:D12"/>
    <mergeCell ref="E12:F12"/>
    <mergeCell ref="G12:H12"/>
    <mergeCell ref="I12:J12"/>
    <mergeCell ref="K12:L12"/>
    <mergeCell ref="M12:N12"/>
    <mergeCell ref="A9:B9"/>
    <mergeCell ref="C9:D9"/>
    <mergeCell ref="E9:F9"/>
    <mergeCell ref="G9:H9"/>
    <mergeCell ref="I9:J9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</mergeCells>
  <printOptions horizontalCentered="1" gridLines="1"/>
  <pageMargins left="0.25" right="0.25" top="0.5" bottom="0.5" header="0" footer="0"/>
  <pageSetup pageOrder="overThenDown" orientation="landscape" cellComments="atEnd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  <pageSetUpPr fitToPage="1"/>
  </sheetPr>
  <dimension ref="A1:N53"/>
  <sheetViews>
    <sheetView showGridLines="0" topLeftCell="A2" workbookViewId="0"/>
  </sheetViews>
  <sheetFormatPr defaultColWidth="12.5703125" defaultRowHeight="12.75" customHeight="1"/>
  <cols>
    <col min="1" max="1" width="3.85546875" customWidth="1"/>
    <col min="2" max="2" width="13.42578125" customWidth="1"/>
    <col min="3" max="3" width="3.85546875" customWidth="1"/>
    <col min="4" max="4" width="13.42578125" customWidth="1"/>
    <col min="5" max="5" width="3.85546875" customWidth="1"/>
    <col min="6" max="6" width="13.42578125" customWidth="1"/>
    <col min="7" max="7" width="3.85546875" customWidth="1"/>
    <col min="8" max="8" width="13.42578125" customWidth="1"/>
    <col min="9" max="9" width="3.85546875" customWidth="1"/>
    <col min="10" max="10" width="13.42578125" customWidth="1"/>
    <col min="11" max="11" width="3.85546875" customWidth="1"/>
    <col min="12" max="12" width="13.42578125" customWidth="1"/>
    <col min="13" max="13" width="3.85546875" customWidth="1"/>
    <col min="14" max="14" width="13.42578125" customWidth="1"/>
  </cols>
  <sheetData>
    <row r="1" spans="1:14" ht="12.6" hidden="1">
      <c r="A1" s="36">
        <f>EDATE('©'!A17,3)</f>
        <v>45200</v>
      </c>
      <c r="B1" s="37"/>
      <c r="C1" s="1"/>
      <c r="D1" s="1"/>
      <c r="E1" s="1"/>
      <c r="F1" s="1"/>
      <c r="G1" s="1"/>
      <c r="H1" s="1"/>
      <c r="I1" s="1"/>
      <c r="J1" s="1"/>
      <c r="K1" s="38" t="s">
        <v>0</v>
      </c>
      <c r="L1" s="37"/>
      <c r="M1" s="37"/>
      <c r="N1" s="37"/>
    </row>
    <row r="2" spans="1:14" ht="18" customHeight="1">
      <c r="A2" s="39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1:14" ht="18" customHeight="1">
      <c r="A3" s="29" t="s">
        <v>2</v>
      </c>
      <c r="B3" s="37"/>
      <c r="C3" s="27" t="s">
        <v>3</v>
      </c>
      <c r="D3" s="37"/>
      <c r="E3" s="19" t="s">
        <v>4</v>
      </c>
      <c r="F3" s="37"/>
      <c r="G3" s="21" t="s">
        <v>5</v>
      </c>
      <c r="H3" s="37"/>
      <c r="I3" s="56" t="s">
        <v>6</v>
      </c>
      <c r="J3" s="37"/>
      <c r="K3" s="23" t="s">
        <v>7</v>
      </c>
      <c r="L3" s="37"/>
      <c r="M3" s="25" t="s">
        <v>8</v>
      </c>
      <c r="N3" s="37"/>
    </row>
    <row r="4" spans="1:14" ht="60.75" customHeight="1">
      <c r="A4" s="42" t="str">
        <f>UPPER(TEXT(A1,"mmmm yyyy"))</f>
        <v>OCTOBER 2023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</row>
    <row r="5" spans="1:14" ht="15" customHeight="1">
      <c r="A5" s="40">
        <f>A14</f>
        <v>45201</v>
      </c>
      <c r="B5" s="41"/>
      <c r="C5" s="40">
        <f>C14</f>
        <v>45202</v>
      </c>
      <c r="D5" s="41"/>
      <c r="E5" s="40">
        <f>E14</f>
        <v>45203</v>
      </c>
      <c r="F5" s="41"/>
      <c r="G5" s="40">
        <f>G14</f>
        <v>45204</v>
      </c>
      <c r="H5" s="41"/>
      <c r="I5" s="40">
        <f>I14</f>
        <v>45205</v>
      </c>
      <c r="J5" s="41"/>
      <c r="K5" s="40">
        <f>K14</f>
        <v>45206</v>
      </c>
      <c r="L5" s="41"/>
      <c r="M5" s="40">
        <f>M14</f>
        <v>45207</v>
      </c>
      <c r="N5" s="41"/>
    </row>
    <row r="6" spans="1:14" ht="18" customHeight="1">
      <c r="A6" s="2" t="str">
        <f>IF(WEEKDAY($A$1,1)=startday,$A$1,"")</f>
        <v/>
      </c>
      <c r="B6" s="3"/>
      <c r="C6" s="2" t="str">
        <f>IF(A6="",IF(WEEKDAY($A$1,1)=MOD(startday,7)+1,$A$1,""),A6+1)</f>
        <v/>
      </c>
      <c r="D6" s="3"/>
      <c r="E6" s="2" t="str">
        <f>IF(C6="",IF(WEEKDAY($A$1,1)=MOD(startday,7)+2,$A$1,""),C6+1)</f>
        <v/>
      </c>
      <c r="F6" s="3"/>
      <c r="G6" s="2" t="str">
        <f>IF(E6="",IF(WEEKDAY($A$1,1)=MOD(startday,7)+3,$A$1,""),E6+1)</f>
        <v/>
      </c>
      <c r="H6" s="3"/>
      <c r="I6" s="2" t="str">
        <f>IF(G6="",IF(WEEKDAY($A$1,1)=MOD(startday,7)+4,$A$1,""),G6+1)</f>
        <v/>
      </c>
      <c r="J6" s="3" t="s">
        <v>252</v>
      </c>
      <c r="K6" s="4" t="str">
        <f>IF(I6="",IF(WEEKDAY($A$1,1)=MOD(startday,7)+5,$A$1,""),I6+1)</f>
        <v/>
      </c>
      <c r="L6" s="5"/>
      <c r="M6" s="4">
        <f>IF(K6="",IF(WEEKDAY($A$1,1)=MOD(startday+5,7)+1,$A$1,""),K6+1)</f>
        <v>45200</v>
      </c>
      <c r="N6" s="5"/>
    </row>
    <row r="7" spans="1:14" ht="14.1">
      <c r="A7" s="29"/>
      <c r="B7" s="20"/>
      <c r="C7" s="44"/>
      <c r="D7" s="20"/>
      <c r="E7" s="29"/>
      <c r="F7" s="20"/>
      <c r="G7" s="44" t="s">
        <v>9</v>
      </c>
      <c r="H7" s="20"/>
      <c r="I7" s="44" t="s">
        <v>49</v>
      </c>
      <c r="J7" s="20"/>
      <c r="K7" s="44" t="s">
        <v>50</v>
      </c>
      <c r="L7" s="20"/>
      <c r="M7" s="44" t="s">
        <v>50</v>
      </c>
      <c r="N7" s="20"/>
    </row>
    <row r="8" spans="1:14" ht="14.1">
      <c r="A8" s="27"/>
      <c r="B8" s="20"/>
      <c r="C8" s="26"/>
      <c r="D8" s="20"/>
      <c r="E8" s="27"/>
      <c r="F8" s="20"/>
      <c r="G8" s="26" t="s">
        <v>38</v>
      </c>
      <c r="H8" s="20"/>
      <c r="I8" s="26" t="s">
        <v>38</v>
      </c>
      <c r="J8" s="20"/>
      <c r="K8" s="26" t="s">
        <v>38</v>
      </c>
      <c r="L8" s="20"/>
      <c r="M8" s="26" t="s">
        <v>38</v>
      </c>
      <c r="N8" s="20"/>
    </row>
    <row r="9" spans="1:14" ht="14.1">
      <c r="A9" s="19"/>
      <c r="B9" s="20"/>
      <c r="C9" s="35"/>
      <c r="D9" s="20"/>
      <c r="E9" s="19"/>
      <c r="F9" s="20"/>
      <c r="G9" s="35" t="s">
        <v>13</v>
      </c>
      <c r="H9" s="20"/>
      <c r="I9" s="35" t="s">
        <v>253</v>
      </c>
      <c r="J9" s="20"/>
      <c r="K9" s="35" t="s">
        <v>10</v>
      </c>
      <c r="L9" s="20"/>
      <c r="M9" s="35" t="s">
        <v>10</v>
      </c>
      <c r="N9" s="20"/>
    </row>
    <row r="10" spans="1:14" ht="14.1">
      <c r="A10" s="21"/>
      <c r="B10" s="20"/>
      <c r="C10" s="30"/>
      <c r="D10" s="20"/>
      <c r="E10" s="21"/>
      <c r="F10" s="20"/>
      <c r="G10" s="30" t="s">
        <v>24</v>
      </c>
      <c r="H10" s="20"/>
      <c r="I10" s="30" t="s">
        <v>24</v>
      </c>
      <c r="J10" s="20"/>
      <c r="K10" s="30" t="s">
        <v>24</v>
      </c>
      <c r="L10" s="20"/>
      <c r="M10" s="30" t="s">
        <v>24</v>
      </c>
      <c r="N10" s="20"/>
    </row>
    <row r="11" spans="1:14" ht="14.1">
      <c r="A11" s="56"/>
      <c r="B11" s="20"/>
      <c r="C11" s="57"/>
      <c r="D11" s="20"/>
      <c r="E11" s="56"/>
      <c r="F11" s="20"/>
      <c r="G11" s="57" t="s">
        <v>43</v>
      </c>
      <c r="H11" s="20"/>
      <c r="I11" s="57" t="s">
        <v>43</v>
      </c>
      <c r="J11" s="20"/>
      <c r="K11" s="57" t="s">
        <v>43</v>
      </c>
      <c r="L11" s="20"/>
      <c r="M11" s="57" t="s">
        <v>43</v>
      </c>
      <c r="N11" s="20"/>
    </row>
    <row r="12" spans="1:14" ht="14.1">
      <c r="A12" s="23"/>
      <c r="B12" s="20"/>
      <c r="C12" s="22"/>
      <c r="D12" s="20"/>
      <c r="E12" s="23"/>
      <c r="F12" s="20"/>
      <c r="G12" s="22" t="s">
        <v>27</v>
      </c>
      <c r="H12" s="20"/>
      <c r="I12" s="22" t="s">
        <v>27</v>
      </c>
      <c r="J12" s="20"/>
      <c r="K12" s="22" t="s">
        <v>137</v>
      </c>
      <c r="L12" s="20"/>
      <c r="M12" s="22" t="s">
        <v>137</v>
      </c>
      <c r="N12" s="20"/>
    </row>
    <row r="13" spans="1:14" ht="18" customHeight="1">
      <c r="A13" s="25"/>
      <c r="B13" s="20"/>
      <c r="C13" s="31"/>
      <c r="D13" s="24"/>
      <c r="E13" s="25"/>
      <c r="F13" s="20"/>
      <c r="G13" s="31" t="s">
        <v>30</v>
      </c>
      <c r="H13" s="24"/>
      <c r="I13" s="31" t="s">
        <v>30</v>
      </c>
      <c r="J13" s="24"/>
      <c r="K13" s="31" t="s">
        <v>30</v>
      </c>
      <c r="L13" s="24"/>
      <c r="M13" s="31" t="s">
        <v>30</v>
      </c>
      <c r="N13" s="24"/>
    </row>
    <row r="14" spans="1:14" ht="18" customHeight="1">
      <c r="A14" s="2">
        <f>M6+1</f>
        <v>45201</v>
      </c>
      <c r="B14" s="3"/>
      <c r="C14" s="2">
        <f>A14+1</f>
        <v>45202</v>
      </c>
      <c r="D14" s="3"/>
      <c r="E14" s="2">
        <f>C14+1</f>
        <v>45203</v>
      </c>
      <c r="F14" s="3"/>
      <c r="G14" s="2">
        <f>E14+1</f>
        <v>45204</v>
      </c>
      <c r="H14" s="3"/>
      <c r="I14" s="2">
        <f>G14+1</f>
        <v>45205</v>
      </c>
      <c r="J14" s="3"/>
      <c r="K14" s="4">
        <f>I14+1</f>
        <v>45206</v>
      </c>
      <c r="L14" s="5"/>
      <c r="M14" s="4">
        <f>K14+1</f>
        <v>45207</v>
      </c>
      <c r="N14" s="5"/>
    </row>
    <row r="15" spans="1:14" ht="14.1">
      <c r="A15" s="29" t="s">
        <v>52</v>
      </c>
      <c r="B15" s="20"/>
      <c r="C15" s="29" t="s">
        <v>50</v>
      </c>
      <c r="D15" s="20"/>
      <c r="E15" s="29" t="s">
        <v>50</v>
      </c>
      <c r="F15" s="20"/>
      <c r="G15" s="29" t="s">
        <v>50</v>
      </c>
      <c r="H15" s="20"/>
      <c r="I15" s="44" t="s">
        <v>10</v>
      </c>
      <c r="J15" s="20"/>
      <c r="K15" s="44" t="s">
        <v>11</v>
      </c>
      <c r="L15" s="20"/>
      <c r="M15" s="44" t="s">
        <v>11</v>
      </c>
      <c r="N15" s="20"/>
    </row>
    <row r="16" spans="1:14" ht="14.1">
      <c r="A16" s="27" t="s">
        <v>59</v>
      </c>
      <c r="B16" s="20"/>
      <c r="C16" s="27" t="s">
        <v>59</v>
      </c>
      <c r="D16" s="20"/>
      <c r="E16" s="27" t="s">
        <v>59</v>
      </c>
      <c r="F16" s="20"/>
      <c r="G16" s="27" t="s">
        <v>59</v>
      </c>
      <c r="H16" s="20"/>
      <c r="I16" s="27" t="s">
        <v>59</v>
      </c>
      <c r="J16" s="20"/>
      <c r="K16" s="27" t="s">
        <v>59</v>
      </c>
      <c r="L16" s="20"/>
      <c r="M16" s="27" t="s">
        <v>59</v>
      </c>
      <c r="N16" s="20"/>
    </row>
    <row r="17" spans="1:14" ht="14.1">
      <c r="A17" s="19" t="s">
        <v>9</v>
      </c>
      <c r="B17" s="20"/>
      <c r="C17" s="35" t="s">
        <v>9</v>
      </c>
      <c r="D17" s="20"/>
      <c r="E17" s="19" t="s">
        <v>9</v>
      </c>
      <c r="F17" s="20"/>
      <c r="G17" s="35" t="s">
        <v>11</v>
      </c>
      <c r="H17" s="20"/>
      <c r="I17" s="35" t="s">
        <v>112</v>
      </c>
      <c r="J17" s="20"/>
      <c r="K17" s="35" t="s">
        <v>14</v>
      </c>
      <c r="L17" s="20"/>
      <c r="M17" s="35" t="s">
        <v>14</v>
      </c>
      <c r="N17" s="20"/>
    </row>
    <row r="18" spans="1:14" ht="14.1">
      <c r="A18" s="21" t="s">
        <v>15</v>
      </c>
      <c r="B18" s="20"/>
      <c r="C18" s="21" t="s">
        <v>15</v>
      </c>
      <c r="D18" s="20"/>
      <c r="E18" s="21" t="s">
        <v>15</v>
      </c>
      <c r="F18" s="20"/>
      <c r="G18" s="21" t="s">
        <v>15</v>
      </c>
      <c r="H18" s="20"/>
      <c r="I18" s="21" t="s">
        <v>15</v>
      </c>
      <c r="J18" s="20"/>
      <c r="K18" s="21" t="s">
        <v>15</v>
      </c>
      <c r="L18" s="20"/>
      <c r="M18" s="21" t="s">
        <v>15</v>
      </c>
      <c r="N18" s="20"/>
    </row>
    <row r="19" spans="1:14" ht="14.1">
      <c r="A19" s="56" t="s">
        <v>16</v>
      </c>
      <c r="B19" s="20"/>
      <c r="C19" s="56" t="s">
        <v>16</v>
      </c>
      <c r="D19" s="20"/>
      <c r="E19" s="56" t="s">
        <v>16</v>
      </c>
      <c r="F19" s="20"/>
      <c r="G19" s="56" t="s">
        <v>16</v>
      </c>
      <c r="H19" s="20"/>
      <c r="I19" s="56" t="s">
        <v>16</v>
      </c>
      <c r="J19" s="20"/>
      <c r="K19" s="56" t="s">
        <v>16</v>
      </c>
      <c r="L19" s="20"/>
      <c r="M19" s="56" t="s">
        <v>16</v>
      </c>
      <c r="N19" s="20"/>
    </row>
    <row r="20" spans="1:14" ht="14.1">
      <c r="A20" s="23" t="s">
        <v>26</v>
      </c>
      <c r="B20" s="20"/>
      <c r="C20" s="22" t="s">
        <v>26</v>
      </c>
      <c r="D20" s="20"/>
      <c r="E20" s="23" t="s">
        <v>28</v>
      </c>
      <c r="F20" s="20"/>
      <c r="G20" s="22" t="s">
        <v>17</v>
      </c>
      <c r="H20" s="20"/>
      <c r="I20" s="22" t="s">
        <v>17</v>
      </c>
      <c r="J20" s="20"/>
      <c r="K20" s="22" t="s">
        <v>17</v>
      </c>
      <c r="L20" s="20"/>
      <c r="M20" s="22" t="s">
        <v>17</v>
      </c>
      <c r="N20" s="20"/>
    </row>
    <row r="21" spans="1:14" ht="18" customHeight="1">
      <c r="A21" s="25" t="s">
        <v>29</v>
      </c>
      <c r="B21" s="20"/>
      <c r="C21" s="25" t="s">
        <v>29</v>
      </c>
      <c r="D21" s="20"/>
      <c r="E21" s="25" t="s">
        <v>30</v>
      </c>
      <c r="F21" s="20"/>
      <c r="G21" s="25" t="s">
        <v>29</v>
      </c>
      <c r="H21" s="20"/>
      <c r="I21" s="25" t="s">
        <v>29</v>
      </c>
      <c r="J21" s="20"/>
      <c r="K21" s="25" t="s">
        <v>146</v>
      </c>
      <c r="L21" s="20"/>
      <c r="M21" s="25" t="s">
        <v>146</v>
      </c>
      <c r="N21" s="20"/>
    </row>
    <row r="22" spans="1:14" ht="18" customHeight="1">
      <c r="A22" s="2">
        <f>M14+1</f>
        <v>45208</v>
      </c>
      <c r="B22" s="3"/>
      <c r="C22" s="2">
        <f>A22+1</f>
        <v>45209</v>
      </c>
      <c r="D22" s="3"/>
      <c r="E22" s="2">
        <f>C22+1</f>
        <v>45210</v>
      </c>
      <c r="F22" s="3"/>
      <c r="G22" s="2">
        <f>E22+1</f>
        <v>45211</v>
      </c>
      <c r="H22" s="3"/>
      <c r="I22" s="2">
        <f>G22+1</f>
        <v>45212</v>
      </c>
      <c r="J22" s="3"/>
      <c r="K22" s="4">
        <f>I22+1</f>
        <v>45213</v>
      </c>
      <c r="L22" s="5"/>
      <c r="M22" s="4">
        <f>K22+1</f>
        <v>45214</v>
      </c>
      <c r="N22" s="5"/>
    </row>
    <row r="23" spans="1:14" ht="14.1">
      <c r="A23" s="29" t="s">
        <v>83</v>
      </c>
      <c r="B23" s="20"/>
      <c r="C23" s="29" t="s">
        <v>11</v>
      </c>
      <c r="D23" s="20"/>
      <c r="E23" s="29" t="s">
        <v>10</v>
      </c>
      <c r="F23" s="20"/>
      <c r="G23" s="29" t="s">
        <v>11</v>
      </c>
      <c r="H23" s="20"/>
      <c r="I23" s="44" t="s">
        <v>105</v>
      </c>
      <c r="J23" s="20"/>
      <c r="K23" s="44" t="s">
        <v>24</v>
      </c>
      <c r="L23" s="20"/>
      <c r="M23" s="44" t="s">
        <v>24</v>
      </c>
      <c r="N23" s="20"/>
    </row>
    <row r="24" spans="1:14" ht="14.1">
      <c r="A24" s="27" t="s">
        <v>42</v>
      </c>
      <c r="B24" s="20"/>
      <c r="C24" s="27" t="s">
        <v>42</v>
      </c>
      <c r="D24" s="20"/>
      <c r="E24" s="27" t="s">
        <v>42</v>
      </c>
      <c r="F24" s="20"/>
      <c r="G24" s="27" t="s">
        <v>42</v>
      </c>
      <c r="H24" s="20"/>
      <c r="I24" s="27" t="s">
        <v>42</v>
      </c>
      <c r="J24" s="20"/>
      <c r="K24" s="27" t="s">
        <v>42</v>
      </c>
      <c r="L24" s="20"/>
      <c r="M24" s="27" t="s">
        <v>42</v>
      </c>
      <c r="N24" s="20"/>
    </row>
    <row r="25" spans="1:14" ht="14.1">
      <c r="A25" s="19" t="s">
        <v>13</v>
      </c>
      <c r="B25" s="20"/>
      <c r="C25" s="35" t="s">
        <v>13</v>
      </c>
      <c r="D25" s="20"/>
      <c r="E25" s="19" t="s">
        <v>112</v>
      </c>
      <c r="F25" s="20"/>
      <c r="G25" s="35" t="s">
        <v>9</v>
      </c>
      <c r="H25" s="20"/>
      <c r="I25" s="35" t="s">
        <v>31</v>
      </c>
      <c r="J25" s="20"/>
      <c r="K25" s="35" t="s">
        <v>218</v>
      </c>
      <c r="L25" s="20"/>
      <c r="M25" s="35" t="s">
        <v>218</v>
      </c>
      <c r="N25" s="20"/>
    </row>
    <row r="26" spans="1:14" ht="14.1">
      <c r="A26" s="21" t="s">
        <v>15</v>
      </c>
      <c r="B26" s="20"/>
      <c r="C26" s="21" t="s">
        <v>15</v>
      </c>
      <c r="D26" s="20"/>
      <c r="E26" s="21" t="s">
        <v>15</v>
      </c>
      <c r="F26" s="20"/>
      <c r="G26" s="21" t="s">
        <v>15</v>
      </c>
      <c r="H26" s="20"/>
      <c r="I26" s="21" t="s">
        <v>24</v>
      </c>
      <c r="J26" s="20"/>
      <c r="K26" s="21" t="s">
        <v>24</v>
      </c>
      <c r="L26" s="20"/>
      <c r="M26" s="21" t="s">
        <v>24</v>
      </c>
      <c r="N26" s="20"/>
    </row>
    <row r="27" spans="1:14" ht="14.1">
      <c r="A27" s="56" t="s">
        <v>25</v>
      </c>
      <c r="B27" s="20"/>
      <c r="C27" s="56" t="s">
        <v>25</v>
      </c>
      <c r="D27" s="20"/>
      <c r="E27" s="56" t="s">
        <v>25</v>
      </c>
      <c r="F27" s="20"/>
      <c r="G27" s="56" t="s">
        <v>25</v>
      </c>
      <c r="H27" s="20"/>
      <c r="I27" s="56" t="s">
        <v>13</v>
      </c>
      <c r="J27" s="20"/>
      <c r="K27" s="56" t="s">
        <v>13</v>
      </c>
      <c r="L27" s="20"/>
      <c r="M27" s="56" t="s">
        <v>13</v>
      </c>
      <c r="N27" s="20"/>
    </row>
    <row r="28" spans="1:14" ht="14.1">
      <c r="A28" s="23" t="s">
        <v>27</v>
      </c>
      <c r="B28" s="20"/>
      <c r="C28" s="23" t="s">
        <v>27</v>
      </c>
      <c r="D28" s="20"/>
      <c r="E28" s="23" t="s">
        <v>27</v>
      </c>
      <c r="F28" s="20"/>
      <c r="G28" s="23" t="s">
        <v>27</v>
      </c>
      <c r="H28" s="20"/>
      <c r="I28" s="23" t="s">
        <v>26</v>
      </c>
      <c r="J28" s="20"/>
      <c r="K28" s="23" t="s">
        <v>26</v>
      </c>
      <c r="L28" s="20"/>
      <c r="M28" s="23" t="s">
        <v>26</v>
      </c>
      <c r="N28" s="20"/>
    </row>
    <row r="29" spans="1:14" ht="18" customHeight="1">
      <c r="A29" s="25" t="s">
        <v>50</v>
      </c>
      <c r="B29" s="20"/>
      <c r="C29" s="25" t="s">
        <v>50</v>
      </c>
      <c r="D29" s="20"/>
      <c r="E29" s="25" t="s">
        <v>50</v>
      </c>
      <c r="F29" s="20"/>
      <c r="G29" s="25" t="s">
        <v>50</v>
      </c>
      <c r="H29" s="20"/>
      <c r="I29" s="25" t="s">
        <v>63</v>
      </c>
      <c r="J29" s="20"/>
      <c r="K29" s="25" t="s">
        <v>254</v>
      </c>
      <c r="L29" s="20"/>
      <c r="M29" s="25" t="s">
        <v>254</v>
      </c>
      <c r="N29" s="20"/>
    </row>
    <row r="30" spans="1:14" ht="18" customHeight="1">
      <c r="A30" s="2">
        <f>M22+1</f>
        <v>45215</v>
      </c>
      <c r="B30" s="3"/>
      <c r="C30" s="2">
        <f>A30+1</f>
        <v>45216</v>
      </c>
      <c r="D30" s="3"/>
      <c r="E30" s="2">
        <f>C30+1</f>
        <v>45217</v>
      </c>
      <c r="F30" s="3"/>
      <c r="G30" s="2">
        <f>E30+1</f>
        <v>45218</v>
      </c>
      <c r="H30" s="3"/>
      <c r="I30" s="2">
        <f>G30+1</f>
        <v>45219</v>
      </c>
      <c r="J30" s="3"/>
      <c r="K30" s="4">
        <f>I30+1</f>
        <v>45220</v>
      </c>
      <c r="L30" s="5"/>
      <c r="M30" s="4">
        <f>K30+1</f>
        <v>45221</v>
      </c>
      <c r="N30" s="5"/>
    </row>
    <row r="31" spans="1:14" ht="14.1">
      <c r="A31" s="29" t="s">
        <v>85</v>
      </c>
      <c r="B31" s="20"/>
      <c r="C31" s="44" t="s">
        <v>24</v>
      </c>
      <c r="D31" s="20"/>
      <c r="E31" s="29" t="s">
        <v>135</v>
      </c>
      <c r="F31" s="20"/>
      <c r="G31" s="44" t="s">
        <v>24</v>
      </c>
      <c r="H31" s="20"/>
      <c r="I31" s="44" t="s">
        <v>31</v>
      </c>
      <c r="J31" s="20"/>
      <c r="K31" s="44" t="s">
        <v>9</v>
      </c>
      <c r="L31" s="20"/>
      <c r="M31" s="44" t="s">
        <v>9</v>
      </c>
      <c r="N31" s="20"/>
    </row>
    <row r="32" spans="1:14" ht="14.1">
      <c r="A32" s="27" t="s">
        <v>16</v>
      </c>
      <c r="B32" s="20"/>
      <c r="C32" s="27" t="s">
        <v>16</v>
      </c>
      <c r="D32" s="20"/>
      <c r="E32" s="27" t="s">
        <v>16</v>
      </c>
      <c r="F32" s="20"/>
      <c r="G32" s="27" t="s">
        <v>16</v>
      </c>
      <c r="H32" s="20"/>
      <c r="I32" s="27" t="s">
        <v>16</v>
      </c>
      <c r="J32" s="20"/>
      <c r="K32" s="27" t="s">
        <v>16</v>
      </c>
      <c r="L32" s="20"/>
      <c r="M32" s="27" t="s">
        <v>16</v>
      </c>
      <c r="N32" s="20"/>
    </row>
    <row r="33" spans="1:14" ht="14.1">
      <c r="A33" s="19" t="s">
        <v>45</v>
      </c>
      <c r="B33" s="20"/>
      <c r="C33" s="19" t="s">
        <v>9</v>
      </c>
      <c r="D33" s="20"/>
      <c r="E33" s="19" t="s">
        <v>53</v>
      </c>
      <c r="F33" s="20"/>
      <c r="G33" s="19" t="s">
        <v>9</v>
      </c>
      <c r="H33" s="20"/>
      <c r="I33" s="35" t="s">
        <v>82</v>
      </c>
      <c r="J33" s="20"/>
      <c r="K33" s="35" t="s">
        <v>115</v>
      </c>
      <c r="L33" s="20"/>
      <c r="M33" s="35" t="s">
        <v>115</v>
      </c>
      <c r="N33" s="20"/>
    </row>
    <row r="34" spans="1:14" ht="14.1">
      <c r="A34" s="21" t="s">
        <v>24</v>
      </c>
      <c r="B34" s="20"/>
      <c r="C34" s="21" t="s">
        <v>24</v>
      </c>
      <c r="D34" s="20"/>
      <c r="E34" s="21" t="s">
        <v>24</v>
      </c>
      <c r="F34" s="20"/>
      <c r="G34" s="21" t="s">
        <v>24</v>
      </c>
      <c r="H34" s="20"/>
      <c r="I34" s="21" t="s">
        <v>24</v>
      </c>
      <c r="J34" s="20"/>
      <c r="K34" s="21" t="s">
        <v>24</v>
      </c>
      <c r="L34" s="20"/>
      <c r="M34" s="21" t="s">
        <v>24</v>
      </c>
      <c r="N34" s="20"/>
    </row>
    <row r="35" spans="1:14" ht="14.1">
      <c r="A35" s="56" t="s">
        <v>13</v>
      </c>
      <c r="B35" s="20"/>
      <c r="C35" s="56" t="s">
        <v>13</v>
      </c>
      <c r="D35" s="20"/>
      <c r="E35" s="56" t="s">
        <v>13</v>
      </c>
      <c r="F35" s="20"/>
      <c r="G35" s="56" t="s">
        <v>13</v>
      </c>
      <c r="H35" s="20"/>
      <c r="I35" s="56" t="s">
        <v>25</v>
      </c>
      <c r="J35" s="20"/>
      <c r="K35" s="56" t="s">
        <v>25</v>
      </c>
      <c r="L35" s="20"/>
      <c r="M35" s="56" t="s">
        <v>25</v>
      </c>
      <c r="N35" s="20"/>
    </row>
    <row r="36" spans="1:14" ht="14.1">
      <c r="A36" s="23" t="s">
        <v>28</v>
      </c>
      <c r="B36" s="20"/>
      <c r="C36" s="22" t="s">
        <v>33</v>
      </c>
      <c r="D36" s="20"/>
      <c r="E36" s="23" t="s">
        <v>28</v>
      </c>
      <c r="F36" s="20"/>
      <c r="G36" s="22" t="s">
        <v>17</v>
      </c>
      <c r="H36" s="20"/>
      <c r="I36" s="22" t="s">
        <v>28</v>
      </c>
      <c r="J36" s="20"/>
      <c r="K36" s="22" t="s">
        <v>255</v>
      </c>
      <c r="L36" s="20"/>
      <c r="M36" s="22" t="s">
        <v>255</v>
      </c>
      <c r="N36" s="20"/>
    </row>
    <row r="37" spans="1:14" ht="18" customHeight="1">
      <c r="A37" s="25" t="s">
        <v>50</v>
      </c>
      <c r="B37" s="20"/>
      <c r="C37" s="25" t="s">
        <v>50</v>
      </c>
      <c r="D37" s="20"/>
      <c r="E37" s="25" t="s">
        <v>50</v>
      </c>
      <c r="F37" s="20"/>
      <c r="G37" s="31" t="s">
        <v>63</v>
      </c>
      <c r="H37" s="24"/>
      <c r="I37" s="31" t="s">
        <v>50</v>
      </c>
      <c r="J37" s="24"/>
      <c r="K37" s="31" t="s">
        <v>50</v>
      </c>
      <c r="L37" s="24"/>
      <c r="M37" s="31" t="s">
        <v>50</v>
      </c>
      <c r="N37" s="24"/>
    </row>
    <row r="38" spans="1:14" ht="18" customHeight="1">
      <c r="A38" s="2">
        <f>IF(M30="","",IF(MONTH(M30+1)&lt;&gt;MONTH($A$1),"",M30+1))</f>
        <v>45222</v>
      </c>
      <c r="B38" s="3"/>
      <c r="C38" s="2">
        <f>IF(A38="","",IF(MONTH(A38+1)&lt;&gt;MONTH($A$1),"",A38+1))</f>
        <v>45223</v>
      </c>
      <c r="D38" s="3"/>
      <c r="E38" s="2">
        <f>IF(C38="","",IF(MONTH(C38+1)&lt;&gt;MONTH($A$1),"",C38+1))</f>
        <v>45224</v>
      </c>
      <c r="F38" s="3"/>
      <c r="G38" s="2">
        <f>IF(E38="","",IF(MONTH(E38+1)&lt;&gt;MONTH($A$1),"",E38+1))</f>
        <v>45225</v>
      </c>
      <c r="H38" s="3"/>
      <c r="I38" s="2">
        <f>IF(G38="","",IF(MONTH(G38+1)&lt;&gt;MONTH($A$1),"",G38+1))</f>
        <v>45226</v>
      </c>
      <c r="J38" s="3"/>
      <c r="K38" s="4">
        <f>IF(I38="","",IF(MONTH(I38+1)&lt;&gt;MONTH($A$1),"",I38+1))</f>
        <v>45227</v>
      </c>
      <c r="L38" s="5"/>
      <c r="M38" s="4">
        <f>IF(K38="","",IF(MONTH(K38+1)&lt;&gt;MONTH($A$1),"",K38+1))</f>
        <v>45228</v>
      </c>
      <c r="N38" s="5"/>
    </row>
    <row r="39" spans="1:14" ht="14.1">
      <c r="A39" s="29" t="s">
        <v>92</v>
      </c>
      <c r="B39" s="20"/>
      <c r="C39" s="29" t="s">
        <v>9</v>
      </c>
      <c r="D39" s="20"/>
      <c r="E39" s="29" t="s">
        <v>53</v>
      </c>
      <c r="F39" s="20"/>
      <c r="G39" s="29" t="s">
        <v>9</v>
      </c>
      <c r="H39" s="20"/>
      <c r="I39" s="29" t="s">
        <v>78</v>
      </c>
      <c r="J39" s="20"/>
      <c r="K39" s="29" t="s">
        <v>49</v>
      </c>
      <c r="L39" s="20"/>
      <c r="M39" s="44"/>
      <c r="N39" s="20"/>
    </row>
    <row r="40" spans="1:14" ht="14.1">
      <c r="A40" s="27" t="s">
        <v>54</v>
      </c>
      <c r="B40" s="20"/>
      <c r="C40" s="27" t="s">
        <v>54</v>
      </c>
      <c r="D40" s="20"/>
      <c r="E40" s="27" t="s">
        <v>54</v>
      </c>
      <c r="F40" s="20"/>
      <c r="G40" s="27" t="s">
        <v>54</v>
      </c>
      <c r="H40" s="20"/>
      <c r="I40" s="27" t="s">
        <v>54</v>
      </c>
      <c r="J40" s="20"/>
      <c r="K40" s="27" t="s">
        <v>54</v>
      </c>
      <c r="L40" s="20"/>
      <c r="M40" s="26"/>
      <c r="N40" s="20"/>
    </row>
    <row r="41" spans="1:14" ht="14.1">
      <c r="A41" s="19" t="s">
        <v>11</v>
      </c>
      <c r="B41" s="20"/>
      <c r="C41" s="19" t="s">
        <v>11</v>
      </c>
      <c r="D41" s="20"/>
      <c r="E41" s="19" t="s">
        <v>10</v>
      </c>
      <c r="F41" s="20"/>
      <c r="G41" s="19" t="s">
        <v>11</v>
      </c>
      <c r="H41" s="20"/>
      <c r="I41" s="19" t="s">
        <v>10</v>
      </c>
      <c r="J41" s="20"/>
      <c r="K41" s="19" t="s">
        <v>75</v>
      </c>
      <c r="L41" s="20"/>
      <c r="M41" s="35"/>
      <c r="N41" s="20"/>
    </row>
    <row r="42" spans="1:14" ht="14.1">
      <c r="A42" s="21" t="s">
        <v>24</v>
      </c>
      <c r="B42" s="20"/>
      <c r="C42" s="21" t="s">
        <v>15</v>
      </c>
      <c r="D42" s="20"/>
      <c r="E42" s="21" t="s">
        <v>24</v>
      </c>
      <c r="F42" s="20"/>
      <c r="G42" s="30" t="s">
        <v>15</v>
      </c>
      <c r="H42" s="20"/>
      <c r="I42" s="30" t="s">
        <v>15</v>
      </c>
      <c r="J42" s="20"/>
      <c r="K42" s="30" t="s">
        <v>15</v>
      </c>
      <c r="L42" s="20"/>
      <c r="M42" s="30"/>
      <c r="N42" s="20"/>
    </row>
    <row r="43" spans="1:14" ht="14.1">
      <c r="A43" s="56" t="s">
        <v>25</v>
      </c>
      <c r="B43" s="20"/>
      <c r="C43" s="56" t="s">
        <v>25</v>
      </c>
      <c r="D43" s="20"/>
      <c r="E43" s="56" t="s">
        <v>25</v>
      </c>
      <c r="F43" s="20"/>
      <c r="G43" s="56" t="s">
        <v>25</v>
      </c>
      <c r="H43" s="20"/>
      <c r="I43" s="56" t="s">
        <v>25</v>
      </c>
      <c r="J43" s="20"/>
      <c r="K43" s="56" t="s">
        <v>25</v>
      </c>
      <c r="L43" s="20"/>
      <c r="M43" s="57"/>
      <c r="N43" s="20"/>
    </row>
    <row r="44" spans="1:14" ht="14.1">
      <c r="A44" s="23" t="s">
        <v>27</v>
      </c>
      <c r="B44" s="20"/>
      <c r="C44" s="22" t="s">
        <v>27</v>
      </c>
      <c r="D44" s="20"/>
      <c r="E44" s="23" t="s">
        <v>28</v>
      </c>
      <c r="F44" s="20"/>
      <c r="G44" s="22" t="s">
        <v>27</v>
      </c>
      <c r="H44" s="20"/>
      <c r="I44" s="22" t="s">
        <v>27</v>
      </c>
      <c r="J44" s="20"/>
      <c r="K44" s="22" t="s">
        <v>137</v>
      </c>
      <c r="L44" s="20"/>
      <c r="M44" s="22"/>
      <c r="N44" s="20"/>
    </row>
    <row r="45" spans="1:14" ht="18" customHeight="1">
      <c r="A45" s="25" t="s">
        <v>30</v>
      </c>
      <c r="B45" s="20"/>
      <c r="C45" s="25" t="s">
        <v>30</v>
      </c>
      <c r="D45" s="20"/>
      <c r="E45" s="25" t="s">
        <v>30</v>
      </c>
      <c r="F45" s="20"/>
      <c r="G45" s="25" t="s">
        <v>30</v>
      </c>
      <c r="H45" s="20"/>
      <c r="I45" s="25" t="s">
        <v>30</v>
      </c>
      <c r="J45" s="20"/>
      <c r="K45" s="25" t="s">
        <v>30</v>
      </c>
      <c r="L45" s="20"/>
      <c r="M45" s="31"/>
      <c r="N45" s="24"/>
    </row>
    <row r="46" spans="1:14" ht="18" customHeight="1">
      <c r="A46" s="2">
        <f>IF(M38="","",IF(MONTH(M38+1)&lt;&gt;MONTH($A$1),"",M38+1))</f>
        <v>45229</v>
      </c>
      <c r="B46" s="3"/>
      <c r="C46" s="2">
        <f>IF(A46="","",IF(MONTH(A46+1)&lt;&gt;MONTH($A$1),"",A46+1))</f>
        <v>45230</v>
      </c>
      <c r="D46" s="3"/>
      <c r="E46" s="46" t="s">
        <v>22</v>
      </c>
      <c r="F46" s="47"/>
      <c r="G46" s="48"/>
      <c r="H46" s="47"/>
      <c r="I46" s="47"/>
      <c r="J46" s="47"/>
      <c r="K46" s="47"/>
      <c r="L46" s="47"/>
      <c r="M46" s="47"/>
      <c r="N46" s="49"/>
    </row>
    <row r="47" spans="1:14" ht="14.1">
      <c r="A47" s="29"/>
      <c r="B47" s="20"/>
      <c r="C47" s="44"/>
      <c r="D47" s="20"/>
      <c r="E47" s="45" t="s">
        <v>256</v>
      </c>
      <c r="F47" s="37"/>
      <c r="G47" s="37"/>
      <c r="H47" s="37"/>
      <c r="I47" s="37"/>
      <c r="J47" s="37"/>
      <c r="K47" s="37"/>
      <c r="L47" s="37"/>
      <c r="M47" s="37"/>
      <c r="N47" s="20"/>
    </row>
    <row r="48" spans="1:14" ht="14.1">
      <c r="A48" s="27"/>
      <c r="B48" s="20"/>
      <c r="C48" s="26"/>
      <c r="D48" s="20"/>
      <c r="E48" s="45" t="s">
        <v>257</v>
      </c>
      <c r="F48" s="37"/>
      <c r="G48" s="37"/>
      <c r="H48" s="37"/>
      <c r="I48" s="37"/>
      <c r="J48" s="37"/>
      <c r="K48" s="37"/>
      <c r="L48" s="37"/>
      <c r="M48" s="37"/>
      <c r="N48" s="20"/>
    </row>
    <row r="49" spans="1:14" ht="14.1">
      <c r="A49" s="19"/>
      <c r="B49" s="20"/>
      <c r="C49" s="35"/>
      <c r="D49" s="20"/>
      <c r="E49" s="45" t="s">
        <v>258</v>
      </c>
      <c r="F49" s="37"/>
      <c r="G49" s="37"/>
      <c r="H49" s="37"/>
      <c r="I49" s="37"/>
      <c r="J49" s="37"/>
      <c r="K49" s="37"/>
      <c r="L49" s="37"/>
      <c r="M49" s="37"/>
      <c r="N49" s="20"/>
    </row>
    <row r="50" spans="1:14" ht="14.1">
      <c r="A50" s="21"/>
      <c r="B50" s="20"/>
      <c r="C50" s="30"/>
      <c r="D50" s="20"/>
      <c r="E50" s="6"/>
      <c r="F50" s="7"/>
      <c r="G50" s="7"/>
      <c r="H50" s="7"/>
      <c r="I50" s="7"/>
      <c r="J50" s="7"/>
      <c r="K50" s="7"/>
      <c r="L50" s="7"/>
      <c r="M50" s="7"/>
      <c r="N50" s="8"/>
    </row>
    <row r="51" spans="1:14" ht="14.1">
      <c r="A51" s="56"/>
      <c r="B51" s="20"/>
      <c r="C51" s="57"/>
      <c r="D51" s="20"/>
      <c r="E51" s="6"/>
      <c r="F51" s="7"/>
      <c r="G51" s="7"/>
      <c r="H51" s="7"/>
      <c r="I51" s="7"/>
      <c r="J51" s="7"/>
      <c r="K51" s="7"/>
      <c r="L51" s="7"/>
      <c r="M51" s="7"/>
      <c r="N51" s="8"/>
    </row>
    <row r="52" spans="1:14" ht="14.1">
      <c r="A52" s="23"/>
      <c r="B52" s="20"/>
      <c r="C52" s="22"/>
      <c r="D52" s="20"/>
      <c r="E52" s="6"/>
      <c r="F52" s="7"/>
      <c r="G52" s="7"/>
      <c r="H52" s="7"/>
      <c r="I52" s="7"/>
      <c r="J52" s="7"/>
      <c r="K52" s="7"/>
      <c r="L52" s="7"/>
      <c r="M52" s="7"/>
      <c r="N52" s="8"/>
    </row>
    <row r="53" spans="1:14" ht="14.1">
      <c r="A53" s="25"/>
      <c r="B53" s="20"/>
      <c r="C53" s="31"/>
      <c r="D53" s="24"/>
      <c r="E53" s="32" t="s">
        <v>23</v>
      </c>
      <c r="F53" s="33"/>
      <c r="G53" s="33"/>
      <c r="H53" s="33"/>
      <c r="I53" s="34" t="str">
        <f>HYPERLINK("https://www.vertex42.com/calendars/academic-calendar.html","https://www.vertex42.com/calendars/academic-calendar.html")</f>
        <v>https://www.vertex42.com/calendars/academic-calendar.html</v>
      </c>
      <c r="J53" s="33"/>
      <c r="K53" s="33"/>
      <c r="L53" s="33"/>
      <c r="M53" s="33"/>
      <c r="N53" s="24"/>
    </row>
  </sheetData>
  <mergeCells count="284">
    <mergeCell ref="A51:B51"/>
    <mergeCell ref="A52:B52"/>
    <mergeCell ref="C52:D52"/>
    <mergeCell ref="A53:B53"/>
    <mergeCell ref="C53:D53"/>
    <mergeCell ref="E53:H53"/>
    <mergeCell ref="I53:N53"/>
    <mergeCell ref="A48:B48"/>
    <mergeCell ref="A49:B49"/>
    <mergeCell ref="C49:D49"/>
    <mergeCell ref="E49:N49"/>
    <mergeCell ref="A50:B50"/>
    <mergeCell ref="C50:D50"/>
    <mergeCell ref="C51:D51"/>
    <mergeCell ref="A43:B43"/>
    <mergeCell ref="C43:D43"/>
    <mergeCell ref="E43:F43"/>
    <mergeCell ref="G43:H43"/>
    <mergeCell ref="I43:J43"/>
    <mergeCell ref="K43:L43"/>
    <mergeCell ref="M43:N43"/>
    <mergeCell ref="A44:B44"/>
    <mergeCell ref="C44:D44"/>
    <mergeCell ref="E44:F44"/>
    <mergeCell ref="G44:H44"/>
    <mergeCell ref="I44:J44"/>
    <mergeCell ref="K44:L44"/>
    <mergeCell ref="M44:N44"/>
    <mergeCell ref="K41:L41"/>
    <mergeCell ref="M41:N41"/>
    <mergeCell ref="A42:B42"/>
    <mergeCell ref="C42:D42"/>
    <mergeCell ref="E42:F42"/>
    <mergeCell ref="G42:H42"/>
    <mergeCell ref="I42:J42"/>
    <mergeCell ref="K42:L42"/>
    <mergeCell ref="M42:N42"/>
    <mergeCell ref="A47:B47"/>
    <mergeCell ref="C47:D47"/>
    <mergeCell ref="E47:N47"/>
    <mergeCell ref="C48:D48"/>
    <mergeCell ref="E48:N48"/>
    <mergeCell ref="A39:B39"/>
    <mergeCell ref="C39:D39"/>
    <mergeCell ref="E39:F39"/>
    <mergeCell ref="G39:H39"/>
    <mergeCell ref="I39:J39"/>
    <mergeCell ref="K39:L39"/>
    <mergeCell ref="M39:N39"/>
    <mergeCell ref="A40:B40"/>
    <mergeCell ref="C40:D40"/>
    <mergeCell ref="E40:F40"/>
    <mergeCell ref="G40:H40"/>
    <mergeCell ref="I40:J40"/>
    <mergeCell ref="K40:L40"/>
    <mergeCell ref="M40:N40"/>
    <mergeCell ref="A41:B41"/>
    <mergeCell ref="C41:D41"/>
    <mergeCell ref="E41:F41"/>
    <mergeCell ref="G41:H41"/>
    <mergeCell ref="I41:J41"/>
    <mergeCell ref="A45:B45"/>
    <mergeCell ref="C45:D45"/>
    <mergeCell ref="E45:F45"/>
    <mergeCell ref="G45:H45"/>
    <mergeCell ref="I45:J45"/>
    <mergeCell ref="K45:L45"/>
    <mergeCell ref="M45:N45"/>
    <mergeCell ref="E46:F46"/>
    <mergeCell ref="G46:N46"/>
    <mergeCell ref="A36:B36"/>
    <mergeCell ref="C36:D36"/>
    <mergeCell ref="E36:F36"/>
    <mergeCell ref="G36:H36"/>
    <mergeCell ref="I36:J36"/>
    <mergeCell ref="K36:L36"/>
    <mergeCell ref="M36:N36"/>
    <mergeCell ref="A37:B37"/>
    <mergeCell ref="C37:D37"/>
    <mergeCell ref="E37:F37"/>
    <mergeCell ref="G37:H37"/>
    <mergeCell ref="I37:J37"/>
    <mergeCell ref="K37:L37"/>
    <mergeCell ref="M37:N37"/>
    <mergeCell ref="A34:B34"/>
    <mergeCell ref="C34:D34"/>
    <mergeCell ref="E34:F34"/>
    <mergeCell ref="G34:H34"/>
    <mergeCell ref="I34:J34"/>
    <mergeCell ref="K34:L34"/>
    <mergeCell ref="M34:N34"/>
    <mergeCell ref="A35:B35"/>
    <mergeCell ref="C35:D35"/>
    <mergeCell ref="E35:F35"/>
    <mergeCell ref="G35:H35"/>
    <mergeCell ref="I35:J35"/>
    <mergeCell ref="K35:L35"/>
    <mergeCell ref="M35:N35"/>
    <mergeCell ref="A32:B32"/>
    <mergeCell ref="C32:D32"/>
    <mergeCell ref="E32:F32"/>
    <mergeCell ref="G32:H32"/>
    <mergeCell ref="I32:J32"/>
    <mergeCell ref="K32:L32"/>
    <mergeCell ref="M32:N32"/>
    <mergeCell ref="A33:B33"/>
    <mergeCell ref="C33:D33"/>
    <mergeCell ref="E33:F33"/>
    <mergeCell ref="G33:H33"/>
    <mergeCell ref="I33:J33"/>
    <mergeCell ref="K33:L33"/>
    <mergeCell ref="M33:N33"/>
    <mergeCell ref="A29:B29"/>
    <mergeCell ref="C29:D29"/>
    <mergeCell ref="E29:F29"/>
    <mergeCell ref="G29:H29"/>
    <mergeCell ref="I29:J29"/>
    <mergeCell ref="K29:L29"/>
    <mergeCell ref="M29:N29"/>
    <mergeCell ref="A31:B31"/>
    <mergeCell ref="C31:D31"/>
    <mergeCell ref="E31:F31"/>
    <mergeCell ref="G31:H31"/>
    <mergeCell ref="I31:J31"/>
    <mergeCell ref="K31:L31"/>
    <mergeCell ref="M31:N31"/>
    <mergeCell ref="A27:B27"/>
    <mergeCell ref="C27:D27"/>
    <mergeCell ref="E27:F27"/>
    <mergeCell ref="G27:H27"/>
    <mergeCell ref="I27:J27"/>
    <mergeCell ref="K27:L27"/>
    <mergeCell ref="M27:N27"/>
    <mergeCell ref="A28:B28"/>
    <mergeCell ref="C28:D28"/>
    <mergeCell ref="E28:F28"/>
    <mergeCell ref="G28:H28"/>
    <mergeCell ref="I28:J28"/>
    <mergeCell ref="K28:L28"/>
    <mergeCell ref="M28:N28"/>
    <mergeCell ref="A25:B25"/>
    <mergeCell ref="C25:D25"/>
    <mergeCell ref="E25:F25"/>
    <mergeCell ref="G25:H25"/>
    <mergeCell ref="I25:J25"/>
    <mergeCell ref="K25:L25"/>
    <mergeCell ref="M25:N25"/>
    <mergeCell ref="A26:B26"/>
    <mergeCell ref="C26:D26"/>
    <mergeCell ref="E26:F26"/>
    <mergeCell ref="G26:H26"/>
    <mergeCell ref="I26:J26"/>
    <mergeCell ref="K26:L26"/>
    <mergeCell ref="M26:N26"/>
    <mergeCell ref="A23:B23"/>
    <mergeCell ref="C23:D23"/>
    <mergeCell ref="E23:F23"/>
    <mergeCell ref="G23:H23"/>
    <mergeCell ref="I23:J23"/>
    <mergeCell ref="K23:L23"/>
    <mergeCell ref="M23:N23"/>
    <mergeCell ref="A24:B24"/>
    <mergeCell ref="C24:D24"/>
    <mergeCell ref="E24:F24"/>
    <mergeCell ref="G24:H24"/>
    <mergeCell ref="I24:J24"/>
    <mergeCell ref="K24:L24"/>
    <mergeCell ref="M24:N24"/>
    <mergeCell ref="A20:B20"/>
    <mergeCell ref="C20:D20"/>
    <mergeCell ref="E20:F20"/>
    <mergeCell ref="G20:H20"/>
    <mergeCell ref="I20:J20"/>
    <mergeCell ref="K20:L20"/>
    <mergeCell ref="M20:N20"/>
    <mergeCell ref="A21:B21"/>
    <mergeCell ref="C21:D21"/>
    <mergeCell ref="E21:F21"/>
    <mergeCell ref="G21:H21"/>
    <mergeCell ref="I21:J21"/>
    <mergeCell ref="K21:L21"/>
    <mergeCell ref="M21:N21"/>
    <mergeCell ref="A18:B18"/>
    <mergeCell ref="C18:D18"/>
    <mergeCell ref="E18:F18"/>
    <mergeCell ref="G18:H18"/>
    <mergeCell ref="I18:J18"/>
    <mergeCell ref="K18:L18"/>
    <mergeCell ref="M18:N18"/>
    <mergeCell ref="A19:B19"/>
    <mergeCell ref="C19:D19"/>
    <mergeCell ref="E19:F19"/>
    <mergeCell ref="G19:H19"/>
    <mergeCell ref="I19:J19"/>
    <mergeCell ref="K19:L19"/>
    <mergeCell ref="M19:N19"/>
    <mergeCell ref="A16:B16"/>
    <mergeCell ref="C16:D16"/>
    <mergeCell ref="E16:F16"/>
    <mergeCell ref="G16:H16"/>
    <mergeCell ref="I16:J16"/>
    <mergeCell ref="K16:L16"/>
    <mergeCell ref="M16:N16"/>
    <mergeCell ref="A17:B17"/>
    <mergeCell ref="C17:D17"/>
    <mergeCell ref="E17:F17"/>
    <mergeCell ref="G17:H17"/>
    <mergeCell ref="I17:J17"/>
    <mergeCell ref="K17:L17"/>
    <mergeCell ref="M17:N17"/>
    <mergeCell ref="A13:B13"/>
    <mergeCell ref="C13:D13"/>
    <mergeCell ref="E13:F13"/>
    <mergeCell ref="G13:H13"/>
    <mergeCell ref="I13:J13"/>
    <mergeCell ref="K13:L13"/>
    <mergeCell ref="M13:N13"/>
    <mergeCell ref="A15:B15"/>
    <mergeCell ref="C15:D15"/>
    <mergeCell ref="E15:F15"/>
    <mergeCell ref="G15:H15"/>
    <mergeCell ref="I15:J15"/>
    <mergeCell ref="K15:L15"/>
    <mergeCell ref="M15:N15"/>
    <mergeCell ref="K3:L3"/>
    <mergeCell ref="A7:B7"/>
    <mergeCell ref="C7:D7"/>
    <mergeCell ref="E7:F7"/>
    <mergeCell ref="G7:H7"/>
    <mergeCell ref="I7:J7"/>
    <mergeCell ref="K7:L7"/>
    <mergeCell ref="M7:N7"/>
    <mergeCell ref="A8:B8"/>
    <mergeCell ref="C8:D8"/>
    <mergeCell ref="E8:F8"/>
    <mergeCell ref="G8:H8"/>
    <mergeCell ref="I8:J8"/>
    <mergeCell ref="K8:L8"/>
    <mergeCell ref="M8:N8"/>
    <mergeCell ref="A1:B1"/>
    <mergeCell ref="K1:N1"/>
    <mergeCell ref="A2:N2"/>
    <mergeCell ref="A3:B3"/>
    <mergeCell ref="C3:D3"/>
    <mergeCell ref="E3:F3"/>
    <mergeCell ref="G3:H3"/>
    <mergeCell ref="A11:B11"/>
    <mergeCell ref="C11:D11"/>
    <mergeCell ref="E11:F11"/>
    <mergeCell ref="G11:H11"/>
    <mergeCell ref="I11:J11"/>
    <mergeCell ref="K11:L11"/>
    <mergeCell ref="M11:N11"/>
    <mergeCell ref="K5:L5"/>
    <mergeCell ref="M5:N5"/>
    <mergeCell ref="M3:N3"/>
    <mergeCell ref="A4:N4"/>
    <mergeCell ref="A5:B5"/>
    <mergeCell ref="C5:D5"/>
    <mergeCell ref="E5:F5"/>
    <mergeCell ref="G5:H5"/>
    <mergeCell ref="I5:J5"/>
    <mergeCell ref="I3:J3"/>
    <mergeCell ref="A12:B12"/>
    <mergeCell ref="C12:D12"/>
    <mergeCell ref="E12:F12"/>
    <mergeCell ref="G12:H12"/>
    <mergeCell ref="I12:J12"/>
    <mergeCell ref="K12:L12"/>
    <mergeCell ref="M12:N12"/>
    <mergeCell ref="A9:B9"/>
    <mergeCell ref="C9:D9"/>
    <mergeCell ref="E9:F9"/>
    <mergeCell ref="G9:H9"/>
    <mergeCell ref="I9:J9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</mergeCells>
  <printOptions horizontalCentered="1" gridLines="1"/>
  <pageMargins left="0.25" right="0.25" top="0.5" bottom="0.5" header="0" footer="0"/>
  <pageSetup pageOrder="overThenDown" orientation="landscape" cellComments="atEnd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  <pageSetUpPr fitToPage="1"/>
  </sheetPr>
  <dimension ref="A1:N53"/>
  <sheetViews>
    <sheetView showGridLines="0" topLeftCell="A2" workbookViewId="0"/>
  </sheetViews>
  <sheetFormatPr defaultColWidth="12.5703125" defaultRowHeight="12.75" customHeight="1"/>
  <cols>
    <col min="1" max="1" width="3.85546875" customWidth="1"/>
    <col min="2" max="2" width="13.42578125" customWidth="1"/>
    <col min="3" max="3" width="3.85546875" customWidth="1"/>
    <col min="4" max="4" width="13.42578125" customWidth="1"/>
    <col min="5" max="5" width="3.85546875" customWidth="1"/>
    <col min="6" max="6" width="13.42578125" customWidth="1"/>
    <col min="7" max="7" width="3.85546875" customWidth="1"/>
    <col min="8" max="8" width="13.42578125" customWidth="1"/>
    <col min="9" max="9" width="3.85546875" customWidth="1"/>
    <col min="10" max="10" width="13.42578125" customWidth="1"/>
    <col min="11" max="11" width="3.85546875" customWidth="1"/>
    <col min="12" max="12" width="13.42578125" customWidth="1"/>
    <col min="13" max="13" width="3.85546875" customWidth="1"/>
    <col min="14" max="14" width="13.42578125" customWidth="1"/>
  </cols>
  <sheetData>
    <row r="1" spans="1:14" ht="12.6" hidden="1">
      <c r="A1" s="36">
        <f>EDATE('©'!A17,4)</f>
        <v>45231</v>
      </c>
      <c r="B1" s="37"/>
      <c r="C1" s="1"/>
      <c r="D1" s="1"/>
      <c r="E1" s="1"/>
      <c r="F1" s="1"/>
      <c r="G1" s="1"/>
      <c r="H1" s="1"/>
      <c r="I1" s="1"/>
      <c r="J1" s="1"/>
      <c r="K1" s="38" t="s">
        <v>0</v>
      </c>
      <c r="L1" s="37"/>
      <c r="M1" s="37"/>
      <c r="N1" s="37"/>
    </row>
    <row r="2" spans="1:14" ht="18" customHeight="1">
      <c r="A2" s="39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1:14" ht="18" customHeight="1">
      <c r="A3" s="29" t="s">
        <v>2</v>
      </c>
      <c r="B3" s="37"/>
      <c r="C3" s="27" t="s">
        <v>3</v>
      </c>
      <c r="D3" s="37"/>
      <c r="E3" s="19" t="s">
        <v>4</v>
      </c>
      <c r="F3" s="37"/>
      <c r="G3" s="21" t="s">
        <v>5</v>
      </c>
      <c r="H3" s="37"/>
      <c r="I3" s="56" t="s">
        <v>6</v>
      </c>
      <c r="J3" s="37"/>
      <c r="K3" s="23" t="s">
        <v>7</v>
      </c>
      <c r="L3" s="37"/>
      <c r="M3" s="25" t="s">
        <v>8</v>
      </c>
      <c r="N3" s="37"/>
    </row>
    <row r="4" spans="1:14" ht="60.75" customHeight="1">
      <c r="A4" s="42" t="str">
        <f>UPPER(TEXT(A1,"mmmm yyyy"))</f>
        <v>NOVEMBER 2023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</row>
    <row r="5" spans="1:14" ht="15" customHeight="1">
      <c r="A5" s="40">
        <f>A14</f>
        <v>45236</v>
      </c>
      <c r="B5" s="41"/>
      <c r="C5" s="40">
        <f>C14</f>
        <v>45237</v>
      </c>
      <c r="D5" s="41"/>
      <c r="E5" s="40">
        <f>E14</f>
        <v>45238</v>
      </c>
      <c r="F5" s="41"/>
      <c r="G5" s="40">
        <f>G14</f>
        <v>45239</v>
      </c>
      <c r="H5" s="41"/>
      <c r="I5" s="40">
        <f>I14</f>
        <v>45240</v>
      </c>
      <c r="J5" s="41"/>
      <c r="K5" s="40">
        <f>K14</f>
        <v>45241</v>
      </c>
      <c r="L5" s="41"/>
      <c r="M5" s="40">
        <f>M14</f>
        <v>45242</v>
      </c>
      <c r="N5" s="41"/>
    </row>
    <row r="6" spans="1:14" ht="18" customHeight="1">
      <c r="A6" s="2" t="str">
        <f>IF(WEEKDAY($A$1,1)=startday,$A$1,"")</f>
        <v/>
      </c>
      <c r="B6" s="3"/>
      <c r="C6" s="2" t="str">
        <f>IF(A6="",IF(WEEKDAY($A$1,1)=MOD(startday,7)+1,$A$1,""),A6+1)</f>
        <v/>
      </c>
      <c r="D6" s="3"/>
      <c r="E6" s="2">
        <f>IF(C6="",IF(WEEKDAY($A$1,1)=MOD(startday,7)+2,$A$1,""),C6+1)</f>
        <v>45231</v>
      </c>
      <c r="F6" s="3"/>
      <c r="G6" s="2">
        <f>IF(E6="",IF(WEEKDAY($A$1,1)=MOD(startday,7)+3,$A$1,""),E6+1)</f>
        <v>45232</v>
      </c>
      <c r="H6" s="3"/>
      <c r="I6" s="2">
        <f>IF(G6="",IF(WEEKDAY($A$1,1)=MOD(startday,7)+4,$A$1,""),G6+1)</f>
        <v>45233</v>
      </c>
      <c r="J6" s="3"/>
      <c r="K6" s="4">
        <f>IF(I6="",IF(WEEKDAY($A$1,1)=MOD(startday,7)+5,$A$1,""),I6+1)</f>
        <v>45234</v>
      </c>
      <c r="L6" s="5"/>
      <c r="M6" s="4">
        <f>IF(K6="",IF(WEEKDAY($A$1,1)=MOD(startday+5,7)+1,$A$1,""),K6+1)</f>
        <v>45235</v>
      </c>
      <c r="N6" s="5"/>
    </row>
    <row r="7" spans="1:14" ht="14.1">
      <c r="A7" s="29"/>
      <c r="B7" s="20"/>
      <c r="C7" s="44"/>
      <c r="D7" s="20"/>
      <c r="E7" s="29"/>
      <c r="F7" s="20"/>
      <c r="G7" s="44"/>
      <c r="H7" s="20"/>
      <c r="I7" s="44"/>
      <c r="J7" s="20"/>
      <c r="K7" s="44"/>
      <c r="L7" s="20"/>
      <c r="M7" s="44" t="s">
        <v>50</v>
      </c>
      <c r="N7" s="20"/>
    </row>
    <row r="8" spans="1:14" ht="14.1">
      <c r="A8" s="27"/>
      <c r="B8" s="20"/>
      <c r="C8" s="26"/>
      <c r="D8" s="20"/>
      <c r="E8" s="27"/>
      <c r="F8" s="20"/>
      <c r="G8" s="26"/>
      <c r="H8" s="20"/>
      <c r="I8" s="26"/>
      <c r="J8" s="20"/>
      <c r="K8" s="26"/>
      <c r="L8" s="20"/>
      <c r="M8" s="26" t="s">
        <v>54</v>
      </c>
      <c r="N8" s="20"/>
    </row>
    <row r="9" spans="1:14" ht="14.1">
      <c r="A9" s="19"/>
      <c r="B9" s="20"/>
      <c r="C9" s="35"/>
      <c r="D9" s="20"/>
      <c r="E9" s="19"/>
      <c r="F9" s="20"/>
      <c r="G9" s="35"/>
      <c r="H9" s="20"/>
      <c r="I9" s="35"/>
      <c r="J9" s="20"/>
      <c r="K9" s="35"/>
      <c r="L9" s="20"/>
      <c r="M9" s="35" t="s">
        <v>10</v>
      </c>
      <c r="N9" s="20"/>
    </row>
    <row r="10" spans="1:14" ht="14.1">
      <c r="A10" s="21"/>
      <c r="B10" s="20"/>
      <c r="C10" s="30"/>
      <c r="D10" s="20"/>
      <c r="E10" s="21"/>
      <c r="F10" s="20"/>
      <c r="G10" s="30"/>
      <c r="H10" s="20"/>
      <c r="I10" s="30"/>
      <c r="J10" s="20"/>
      <c r="K10" s="30"/>
      <c r="L10" s="20"/>
      <c r="M10" s="30" t="s">
        <v>15</v>
      </c>
      <c r="N10" s="20"/>
    </row>
    <row r="11" spans="1:14" ht="14.1">
      <c r="A11" s="56"/>
      <c r="B11" s="20"/>
      <c r="C11" s="57"/>
      <c r="D11" s="20"/>
      <c r="E11" s="56"/>
      <c r="F11" s="20"/>
      <c r="G11" s="57"/>
      <c r="H11" s="20"/>
      <c r="I11" s="57"/>
      <c r="J11" s="20"/>
      <c r="K11" s="57"/>
      <c r="L11" s="20"/>
      <c r="M11" s="57" t="s">
        <v>25</v>
      </c>
      <c r="N11" s="20"/>
    </row>
    <row r="12" spans="1:14" ht="14.1">
      <c r="A12" s="23"/>
      <c r="B12" s="20"/>
      <c r="C12" s="22"/>
      <c r="D12" s="20"/>
      <c r="E12" s="23"/>
      <c r="F12" s="20"/>
      <c r="G12" s="22"/>
      <c r="H12" s="20"/>
      <c r="I12" s="22"/>
      <c r="J12" s="20"/>
      <c r="K12" s="22"/>
      <c r="L12" s="20"/>
      <c r="M12" s="22" t="s">
        <v>137</v>
      </c>
      <c r="N12" s="20"/>
    </row>
    <row r="13" spans="1:14" ht="18" customHeight="1">
      <c r="A13" s="25"/>
      <c r="B13" s="20"/>
      <c r="C13" s="31"/>
      <c r="D13" s="24"/>
      <c r="E13" s="25"/>
      <c r="F13" s="20"/>
      <c r="G13" s="31"/>
      <c r="H13" s="24"/>
      <c r="I13" s="31"/>
      <c r="J13" s="24"/>
      <c r="K13" s="31"/>
      <c r="L13" s="24"/>
      <c r="M13" s="31" t="s">
        <v>30</v>
      </c>
      <c r="N13" s="24"/>
    </row>
    <row r="14" spans="1:14" ht="18" customHeight="1">
      <c r="A14" s="2">
        <f>M6+1</f>
        <v>45236</v>
      </c>
      <c r="B14" s="3"/>
      <c r="C14" s="2">
        <f>A14+1</f>
        <v>45237</v>
      </c>
      <c r="D14" s="3"/>
      <c r="E14" s="2">
        <f>C14+1</f>
        <v>45238</v>
      </c>
      <c r="F14" s="3"/>
      <c r="G14" s="2">
        <f>E14+1</f>
        <v>45239</v>
      </c>
      <c r="H14" s="3"/>
      <c r="I14" s="2">
        <f>G14+1</f>
        <v>45240</v>
      </c>
      <c r="J14" s="3"/>
      <c r="K14" s="4">
        <f>I14+1</f>
        <v>45241</v>
      </c>
      <c r="L14" s="5"/>
      <c r="M14" s="4">
        <f>K14+1</f>
        <v>45242</v>
      </c>
      <c r="N14" s="5"/>
    </row>
    <row r="15" spans="1:14" ht="14.1">
      <c r="A15" s="29" t="s">
        <v>52</v>
      </c>
      <c r="B15" s="20"/>
      <c r="C15" s="44" t="s">
        <v>50</v>
      </c>
      <c r="D15" s="20"/>
      <c r="E15" s="29" t="s">
        <v>49</v>
      </c>
      <c r="F15" s="20"/>
      <c r="G15" s="44" t="s">
        <v>50</v>
      </c>
      <c r="H15" s="20"/>
      <c r="I15" s="44" t="s">
        <v>135</v>
      </c>
      <c r="J15" s="20"/>
      <c r="K15" s="44" t="s">
        <v>24</v>
      </c>
      <c r="L15" s="20"/>
      <c r="M15" s="44" t="s">
        <v>24</v>
      </c>
      <c r="N15" s="20"/>
    </row>
    <row r="16" spans="1:14" ht="14.1">
      <c r="A16" s="27" t="s">
        <v>12</v>
      </c>
      <c r="B16" s="20"/>
      <c r="C16" s="27" t="s">
        <v>12</v>
      </c>
      <c r="D16" s="20"/>
      <c r="E16" s="27" t="s">
        <v>12</v>
      </c>
      <c r="F16" s="20"/>
      <c r="G16" s="27" t="s">
        <v>12</v>
      </c>
      <c r="H16" s="20"/>
      <c r="I16" s="27" t="s">
        <v>12</v>
      </c>
      <c r="J16" s="20"/>
      <c r="K16" s="27" t="s">
        <v>12</v>
      </c>
      <c r="L16" s="20"/>
      <c r="M16" s="27" t="s">
        <v>12</v>
      </c>
      <c r="N16" s="20"/>
    </row>
    <row r="17" spans="1:14" ht="14.1">
      <c r="A17" s="19" t="s">
        <v>11</v>
      </c>
      <c r="B17" s="20"/>
      <c r="C17" s="35" t="s">
        <v>11</v>
      </c>
      <c r="D17" s="20"/>
      <c r="E17" s="35" t="s">
        <v>11</v>
      </c>
      <c r="F17" s="20"/>
      <c r="G17" s="35" t="s">
        <v>40</v>
      </c>
      <c r="H17" s="20"/>
      <c r="I17" s="35" t="s">
        <v>88</v>
      </c>
      <c r="J17" s="20"/>
      <c r="K17" s="35" t="s">
        <v>259</v>
      </c>
      <c r="L17" s="20"/>
      <c r="M17" s="35" t="s">
        <v>259</v>
      </c>
      <c r="N17" s="20"/>
    </row>
    <row r="18" spans="1:14" ht="14.1">
      <c r="A18" s="21" t="s">
        <v>15</v>
      </c>
      <c r="B18" s="20"/>
      <c r="C18" s="21" t="s">
        <v>15</v>
      </c>
      <c r="D18" s="20"/>
      <c r="E18" s="21" t="s">
        <v>15</v>
      </c>
      <c r="F18" s="20"/>
      <c r="G18" s="21" t="s">
        <v>15</v>
      </c>
      <c r="H18" s="20"/>
      <c r="I18" s="30" t="s">
        <v>24</v>
      </c>
      <c r="J18" s="20"/>
      <c r="K18" s="30" t="s">
        <v>24</v>
      </c>
      <c r="L18" s="20"/>
      <c r="M18" s="30" t="s">
        <v>24</v>
      </c>
      <c r="N18" s="20"/>
    </row>
    <row r="19" spans="1:14" ht="14.1">
      <c r="A19" s="56" t="s">
        <v>16</v>
      </c>
      <c r="B19" s="20"/>
      <c r="C19" s="56" t="s">
        <v>16</v>
      </c>
      <c r="D19" s="20"/>
      <c r="E19" s="56" t="s">
        <v>16</v>
      </c>
      <c r="F19" s="20"/>
      <c r="G19" s="56" t="s">
        <v>16</v>
      </c>
      <c r="H19" s="20"/>
      <c r="I19" s="56" t="s">
        <v>16</v>
      </c>
      <c r="J19" s="20"/>
      <c r="K19" s="56" t="s">
        <v>16</v>
      </c>
      <c r="L19" s="20"/>
      <c r="M19" s="56" t="s">
        <v>16</v>
      </c>
      <c r="N19" s="20"/>
    </row>
    <row r="20" spans="1:14" ht="14.1">
      <c r="A20" s="23" t="s">
        <v>27</v>
      </c>
      <c r="B20" s="20"/>
      <c r="C20" s="23" t="s">
        <v>27</v>
      </c>
      <c r="D20" s="20"/>
      <c r="E20" s="23" t="s">
        <v>28</v>
      </c>
      <c r="F20" s="20"/>
      <c r="G20" s="22" t="s">
        <v>27</v>
      </c>
      <c r="H20" s="20"/>
      <c r="I20" s="22" t="s">
        <v>26</v>
      </c>
      <c r="J20" s="20"/>
      <c r="K20" s="22" t="s">
        <v>26</v>
      </c>
      <c r="L20" s="20"/>
      <c r="M20" s="22" t="s">
        <v>26</v>
      </c>
      <c r="N20" s="20"/>
    </row>
    <row r="21" spans="1:14" ht="18" customHeight="1">
      <c r="A21" s="25" t="s">
        <v>30</v>
      </c>
      <c r="B21" s="20"/>
      <c r="C21" s="25" t="s">
        <v>30</v>
      </c>
      <c r="D21" s="20"/>
      <c r="E21" s="25" t="s">
        <v>30</v>
      </c>
      <c r="F21" s="20"/>
      <c r="G21" s="25" t="s">
        <v>30</v>
      </c>
      <c r="H21" s="20"/>
      <c r="I21" s="25" t="s">
        <v>29</v>
      </c>
      <c r="J21" s="20"/>
      <c r="K21" s="25" t="s">
        <v>146</v>
      </c>
      <c r="L21" s="20"/>
      <c r="M21" s="25" t="s">
        <v>146</v>
      </c>
      <c r="N21" s="20"/>
    </row>
    <row r="22" spans="1:14" ht="18" customHeight="1">
      <c r="A22" s="2">
        <f>M14+1</f>
        <v>45243</v>
      </c>
      <c r="B22" s="3"/>
      <c r="C22" s="2">
        <f>A22+1</f>
        <v>45244</v>
      </c>
      <c r="D22" s="3"/>
      <c r="E22" s="2">
        <f>C22+1</f>
        <v>45245</v>
      </c>
      <c r="F22" s="3"/>
      <c r="G22" s="2">
        <f>E22+1</f>
        <v>45246</v>
      </c>
      <c r="H22" s="3"/>
      <c r="I22" s="2">
        <f>G22+1</f>
        <v>45247</v>
      </c>
      <c r="J22" s="3"/>
      <c r="K22" s="4">
        <f>I22+1</f>
        <v>45248</v>
      </c>
      <c r="L22" s="5"/>
      <c r="M22" s="4">
        <f>K22+1</f>
        <v>45249</v>
      </c>
      <c r="N22" s="5"/>
    </row>
    <row r="23" spans="1:14" ht="14.1">
      <c r="A23" s="29" t="s">
        <v>85</v>
      </c>
      <c r="B23" s="20"/>
      <c r="C23" s="44" t="s">
        <v>24</v>
      </c>
      <c r="D23" s="20"/>
      <c r="E23" s="29" t="s">
        <v>135</v>
      </c>
      <c r="F23" s="20"/>
      <c r="G23" s="44" t="s">
        <v>24</v>
      </c>
      <c r="H23" s="20"/>
      <c r="I23" s="44" t="s">
        <v>83</v>
      </c>
      <c r="J23" s="20"/>
      <c r="K23" s="44" t="s">
        <v>11</v>
      </c>
      <c r="L23" s="20"/>
      <c r="M23" s="44" t="s">
        <v>11</v>
      </c>
      <c r="N23" s="20"/>
    </row>
    <row r="24" spans="1:14" ht="14.1">
      <c r="A24" s="27" t="s">
        <v>38</v>
      </c>
      <c r="B24" s="20"/>
      <c r="C24" s="27" t="s">
        <v>38</v>
      </c>
      <c r="D24" s="20"/>
      <c r="E24" s="27" t="s">
        <v>38</v>
      </c>
      <c r="F24" s="20"/>
      <c r="G24" s="27" t="s">
        <v>38</v>
      </c>
      <c r="H24" s="20"/>
      <c r="I24" s="27" t="s">
        <v>38</v>
      </c>
      <c r="J24" s="20"/>
      <c r="K24" s="27" t="s">
        <v>38</v>
      </c>
      <c r="L24" s="20"/>
      <c r="M24" s="27" t="s">
        <v>38</v>
      </c>
      <c r="N24" s="20"/>
    </row>
    <row r="25" spans="1:14" ht="14.1">
      <c r="A25" s="19" t="s">
        <v>45</v>
      </c>
      <c r="B25" s="20"/>
      <c r="C25" s="35" t="s">
        <v>9</v>
      </c>
      <c r="D25" s="20"/>
      <c r="E25" s="35" t="s">
        <v>53</v>
      </c>
      <c r="F25" s="20"/>
      <c r="G25" s="35" t="s">
        <v>31</v>
      </c>
      <c r="H25" s="20"/>
      <c r="I25" s="35" t="s">
        <v>9</v>
      </c>
      <c r="J25" s="20"/>
      <c r="K25" s="35" t="s">
        <v>62</v>
      </c>
      <c r="L25" s="20"/>
      <c r="M25" s="35" t="s">
        <v>62</v>
      </c>
      <c r="N25" s="20"/>
    </row>
    <row r="26" spans="1:14" ht="14.1">
      <c r="A26" s="21" t="s">
        <v>15</v>
      </c>
      <c r="B26" s="20"/>
      <c r="C26" s="21" t="s">
        <v>15</v>
      </c>
      <c r="D26" s="20"/>
      <c r="E26" s="21" t="s">
        <v>15</v>
      </c>
      <c r="F26" s="20"/>
      <c r="G26" s="21" t="s">
        <v>15</v>
      </c>
      <c r="H26" s="20"/>
      <c r="I26" s="21" t="s">
        <v>15</v>
      </c>
      <c r="J26" s="20"/>
      <c r="K26" s="21" t="s">
        <v>15</v>
      </c>
      <c r="L26" s="20"/>
      <c r="M26" s="21" t="s">
        <v>15</v>
      </c>
      <c r="N26" s="20"/>
    </row>
    <row r="27" spans="1:14" ht="14.1">
      <c r="A27" s="56" t="s">
        <v>13</v>
      </c>
      <c r="B27" s="20"/>
      <c r="C27" s="56" t="s">
        <v>13</v>
      </c>
      <c r="D27" s="20"/>
      <c r="E27" s="56" t="s">
        <v>13</v>
      </c>
      <c r="F27" s="20"/>
      <c r="G27" s="56" t="s">
        <v>13</v>
      </c>
      <c r="H27" s="20"/>
      <c r="I27" s="56" t="s">
        <v>13</v>
      </c>
      <c r="J27" s="20"/>
      <c r="K27" s="56" t="s">
        <v>13</v>
      </c>
      <c r="L27" s="20"/>
      <c r="M27" s="56" t="s">
        <v>13</v>
      </c>
      <c r="N27" s="20"/>
    </row>
    <row r="28" spans="1:14" ht="14.1">
      <c r="A28" s="23" t="s">
        <v>27</v>
      </c>
      <c r="B28" s="20"/>
      <c r="C28" s="22" t="s">
        <v>17</v>
      </c>
      <c r="D28" s="20"/>
      <c r="E28" s="23" t="s">
        <v>28</v>
      </c>
      <c r="F28" s="20"/>
      <c r="G28" s="22" t="s">
        <v>17</v>
      </c>
      <c r="H28" s="20"/>
      <c r="I28" s="22" t="s">
        <v>28</v>
      </c>
      <c r="J28" s="20"/>
      <c r="K28" s="22" t="s">
        <v>138</v>
      </c>
      <c r="L28" s="20"/>
      <c r="M28" s="22" t="s">
        <v>17</v>
      </c>
      <c r="N28" s="20"/>
    </row>
    <row r="29" spans="1:14" ht="18" customHeight="1">
      <c r="A29" s="25" t="s">
        <v>50</v>
      </c>
      <c r="B29" s="20"/>
      <c r="C29" s="31" t="s">
        <v>63</v>
      </c>
      <c r="D29" s="24"/>
      <c r="E29" s="25" t="s">
        <v>50</v>
      </c>
      <c r="F29" s="20"/>
      <c r="G29" s="31" t="s">
        <v>63</v>
      </c>
      <c r="H29" s="24"/>
      <c r="I29" s="31" t="s">
        <v>50</v>
      </c>
      <c r="J29" s="24"/>
      <c r="K29" s="31" t="s">
        <v>50</v>
      </c>
      <c r="L29" s="24"/>
      <c r="M29" s="31" t="s">
        <v>20</v>
      </c>
      <c r="N29" s="24"/>
    </row>
    <row r="30" spans="1:14" ht="18" customHeight="1">
      <c r="A30" s="2">
        <f>M22+1</f>
        <v>45250</v>
      </c>
      <c r="B30" s="3"/>
      <c r="C30" s="2">
        <f>A30+1</f>
        <v>45251</v>
      </c>
      <c r="D30" s="3"/>
      <c r="E30" s="2">
        <f>C30+1</f>
        <v>45252</v>
      </c>
      <c r="F30" s="3"/>
      <c r="G30" s="2">
        <f>E30+1</f>
        <v>45253</v>
      </c>
      <c r="H30" s="3"/>
      <c r="I30" s="2">
        <f>G30+1</f>
        <v>45254</v>
      </c>
      <c r="J30" s="3"/>
      <c r="K30" s="4">
        <f>I30+1</f>
        <v>45255</v>
      </c>
      <c r="L30" s="5"/>
      <c r="M30" s="4">
        <f>K30+1</f>
        <v>45256</v>
      </c>
      <c r="N30" s="5"/>
    </row>
    <row r="31" spans="1:14" ht="14.1">
      <c r="A31" s="29" t="s">
        <v>10</v>
      </c>
      <c r="B31" s="20"/>
      <c r="C31" s="44" t="s">
        <v>11</v>
      </c>
      <c r="D31" s="20"/>
      <c r="E31" s="29" t="s">
        <v>39</v>
      </c>
      <c r="F31" s="20"/>
      <c r="G31" s="44" t="s">
        <v>11</v>
      </c>
      <c r="H31" s="20"/>
      <c r="I31" s="44" t="s">
        <v>31</v>
      </c>
      <c r="J31" s="20"/>
      <c r="K31" s="44" t="s">
        <v>9</v>
      </c>
      <c r="L31" s="20"/>
      <c r="M31" s="44" t="s">
        <v>9</v>
      </c>
      <c r="N31" s="20"/>
    </row>
    <row r="32" spans="1:14" ht="14.1">
      <c r="A32" s="27" t="s">
        <v>42</v>
      </c>
      <c r="B32" s="20"/>
      <c r="C32" s="27" t="s">
        <v>42</v>
      </c>
      <c r="D32" s="20"/>
      <c r="E32" s="27" t="s">
        <v>42</v>
      </c>
      <c r="F32" s="20"/>
      <c r="G32" s="27" t="s">
        <v>42</v>
      </c>
      <c r="H32" s="20"/>
      <c r="I32" s="27" t="s">
        <v>42</v>
      </c>
      <c r="J32" s="20"/>
      <c r="K32" s="27" t="s">
        <v>42</v>
      </c>
      <c r="L32" s="20"/>
      <c r="M32" s="27" t="s">
        <v>42</v>
      </c>
      <c r="N32" s="20"/>
    </row>
    <row r="33" spans="1:14" ht="14.1">
      <c r="A33" s="19" t="s">
        <v>53</v>
      </c>
      <c r="B33" s="20"/>
      <c r="C33" s="35" t="s">
        <v>9</v>
      </c>
      <c r="D33" s="20"/>
      <c r="E33" s="19" t="s">
        <v>45</v>
      </c>
      <c r="F33" s="20"/>
      <c r="G33" s="35" t="s">
        <v>9</v>
      </c>
      <c r="H33" s="20"/>
      <c r="I33" s="35" t="s">
        <v>75</v>
      </c>
      <c r="J33" s="20"/>
      <c r="K33" s="35" t="s">
        <v>39</v>
      </c>
      <c r="L33" s="20"/>
      <c r="M33" s="35" t="s">
        <v>260</v>
      </c>
      <c r="N33" s="20"/>
    </row>
    <row r="34" spans="1:14" ht="14.1">
      <c r="A34" s="21" t="s">
        <v>24</v>
      </c>
      <c r="B34" s="20"/>
      <c r="C34" s="21" t="s">
        <v>24</v>
      </c>
      <c r="D34" s="20"/>
      <c r="E34" s="21" t="s">
        <v>24</v>
      </c>
      <c r="F34" s="20"/>
      <c r="G34" s="21" t="s">
        <v>24</v>
      </c>
      <c r="H34" s="20"/>
      <c r="I34" s="21" t="s">
        <v>24</v>
      </c>
      <c r="J34" s="20"/>
      <c r="K34" s="21" t="s">
        <v>24</v>
      </c>
      <c r="L34" s="20"/>
      <c r="M34" s="21" t="s">
        <v>24</v>
      </c>
      <c r="N34" s="20"/>
    </row>
    <row r="35" spans="1:14" ht="14.1">
      <c r="A35" s="56" t="s">
        <v>13</v>
      </c>
      <c r="B35" s="20"/>
      <c r="C35" s="56" t="s">
        <v>13</v>
      </c>
      <c r="D35" s="20"/>
      <c r="E35" s="56" t="s">
        <v>13</v>
      </c>
      <c r="F35" s="20"/>
      <c r="G35" s="56" t="s">
        <v>13</v>
      </c>
      <c r="H35" s="20"/>
      <c r="I35" s="56" t="s">
        <v>13</v>
      </c>
      <c r="J35" s="20"/>
      <c r="K35" s="56" t="s">
        <v>13</v>
      </c>
      <c r="L35" s="20"/>
      <c r="M35" s="56" t="s">
        <v>13</v>
      </c>
      <c r="N35" s="20"/>
    </row>
    <row r="36" spans="1:14" ht="14.1">
      <c r="A36" s="23" t="s">
        <v>28</v>
      </c>
      <c r="B36" s="20"/>
      <c r="C36" s="22" t="s">
        <v>33</v>
      </c>
      <c r="D36" s="20"/>
      <c r="E36" s="23" t="s">
        <v>28</v>
      </c>
      <c r="F36" s="20"/>
      <c r="G36" s="22" t="s">
        <v>27</v>
      </c>
      <c r="H36" s="20"/>
      <c r="I36" s="22" t="s">
        <v>26</v>
      </c>
      <c r="J36" s="20"/>
      <c r="K36" s="22" t="s">
        <v>26</v>
      </c>
      <c r="L36" s="20"/>
      <c r="M36" s="22" t="s">
        <v>26</v>
      </c>
      <c r="N36" s="20"/>
    </row>
    <row r="37" spans="1:14" ht="18" customHeight="1">
      <c r="A37" s="25" t="s">
        <v>50</v>
      </c>
      <c r="B37" s="20"/>
      <c r="C37" s="25" t="s">
        <v>50</v>
      </c>
      <c r="D37" s="20"/>
      <c r="E37" s="25" t="s">
        <v>50</v>
      </c>
      <c r="F37" s="20"/>
      <c r="G37" s="25" t="s">
        <v>50</v>
      </c>
      <c r="H37" s="20"/>
      <c r="I37" s="25" t="s">
        <v>63</v>
      </c>
      <c r="J37" s="20"/>
      <c r="K37" s="25" t="s">
        <v>20</v>
      </c>
      <c r="L37" s="20"/>
      <c r="M37" s="25" t="s">
        <v>20</v>
      </c>
      <c r="N37" s="20"/>
    </row>
    <row r="38" spans="1:14" ht="18" customHeight="1">
      <c r="A38" s="2">
        <f>IF(M30="","",IF(MONTH(M30+1)&lt;&gt;MONTH($A$1),"",M30+1))</f>
        <v>45257</v>
      </c>
      <c r="B38" s="3"/>
      <c r="C38" s="2">
        <f>IF(A38="","",IF(MONTH(A38+1)&lt;&gt;MONTH($A$1),"",A38+1))</f>
        <v>45258</v>
      </c>
      <c r="D38" s="3"/>
      <c r="E38" s="2">
        <f>IF(C38="","",IF(MONTH(C38+1)&lt;&gt;MONTH($A$1),"",C38+1))</f>
        <v>45259</v>
      </c>
      <c r="F38" s="3"/>
      <c r="G38" s="2">
        <f>IF(E38="","",IF(MONTH(E38+1)&lt;&gt;MONTH($A$1),"",E38+1))</f>
        <v>45260</v>
      </c>
      <c r="H38" s="3"/>
      <c r="I38" s="2" t="str">
        <f>IF(G38="","",IF(MONTH(G38+1)&lt;&gt;MONTH($A$1),"",G38+1))</f>
        <v/>
      </c>
      <c r="J38" s="3"/>
      <c r="K38" s="4" t="str">
        <f>IF(I38="","",IF(MONTH(I38+1)&lt;&gt;MONTH($A$1),"",I38+1))</f>
        <v/>
      </c>
      <c r="L38" s="5"/>
      <c r="M38" s="4" t="str">
        <f>IF(K38="","",IF(MONTH(K38+1)&lt;&gt;MONTH($A$1),"",K38+1))</f>
        <v/>
      </c>
      <c r="N38" s="5"/>
    </row>
    <row r="39" spans="1:14" ht="14.1">
      <c r="A39" s="29" t="s">
        <v>53</v>
      </c>
      <c r="B39" s="20"/>
      <c r="C39" s="44" t="s">
        <v>9</v>
      </c>
      <c r="D39" s="20"/>
      <c r="E39" s="29" t="s">
        <v>31</v>
      </c>
      <c r="F39" s="20"/>
      <c r="G39" s="44" t="s">
        <v>9</v>
      </c>
      <c r="H39" s="20"/>
      <c r="I39" s="44" t="s">
        <v>93</v>
      </c>
      <c r="J39" s="20"/>
      <c r="K39" s="44" t="s">
        <v>50</v>
      </c>
      <c r="L39" s="20"/>
      <c r="M39" s="44" t="s">
        <v>50</v>
      </c>
      <c r="N39" s="20"/>
    </row>
    <row r="40" spans="1:14" ht="14.1">
      <c r="A40" s="27" t="s">
        <v>59</v>
      </c>
      <c r="B40" s="20"/>
      <c r="C40" s="27" t="s">
        <v>59</v>
      </c>
      <c r="D40" s="20"/>
      <c r="E40" s="27" t="s">
        <v>59</v>
      </c>
      <c r="F40" s="20"/>
      <c r="G40" s="27" t="s">
        <v>59</v>
      </c>
      <c r="H40" s="20"/>
      <c r="I40" s="27" t="s">
        <v>59</v>
      </c>
      <c r="J40" s="20"/>
      <c r="K40" s="27" t="s">
        <v>59</v>
      </c>
      <c r="L40" s="20"/>
      <c r="M40" s="27" t="s">
        <v>59</v>
      </c>
      <c r="N40" s="20"/>
    </row>
    <row r="41" spans="1:14" ht="14.1">
      <c r="A41" s="19" t="s">
        <v>112</v>
      </c>
      <c r="B41" s="20"/>
      <c r="C41" s="35" t="s">
        <v>13</v>
      </c>
      <c r="D41" s="20"/>
      <c r="E41" s="19" t="s">
        <v>14</v>
      </c>
      <c r="F41" s="20"/>
      <c r="G41" s="35" t="s">
        <v>13</v>
      </c>
      <c r="H41" s="20"/>
      <c r="I41" s="35" t="s">
        <v>13</v>
      </c>
      <c r="J41" s="20"/>
      <c r="K41" s="35" t="s">
        <v>112</v>
      </c>
      <c r="L41" s="20"/>
      <c r="M41" s="35" t="s">
        <v>112</v>
      </c>
      <c r="N41" s="20"/>
    </row>
    <row r="42" spans="1:14" ht="14.1">
      <c r="A42" s="21" t="s">
        <v>24</v>
      </c>
      <c r="B42" s="20"/>
      <c r="C42" s="21" t="s">
        <v>24</v>
      </c>
      <c r="D42" s="20"/>
      <c r="E42" s="21" t="s">
        <v>24</v>
      </c>
      <c r="F42" s="20"/>
      <c r="G42" s="21" t="s">
        <v>24</v>
      </c>
      <c r="H42" s="20"/>
      <c r="I42" s="21" t="s">
        <v>24</v>
      </c>
      <c r="J42" s="20"/>
      <c r="K42" s="21" t="s">
        <v>24</v>
      </c>
      <c r="L42" s="20"/>
      <c r="M42" s="21" t="s">
        <v>24</v>
      </c>
      <c r="N42" s="20"/>
    </row>
    <row r="43" spans="1:14" ht="14.1">
      <c r="A43" s="56" t="s">
        <v>16</v>
      </c>
      <c r="B43" s="20"/>
      <c r="C43" s="56" t="s">
        <v>16</v>
      </c>
      <c r="D43" s="20"/>
      <c r="E43" s="56" t="s">
        <v>16</v>
      </c>
      <c r="F43" s="20"/>
      <c r="G43" s="56" t="s">
        <v>16</v>
      </c>
      <c r="H43" s="20"/>
      <c r="I43" s="56" t="s">
        <v>16</v>
      </c>
      <c r="J43" s="20"/>
      <c r="K43" s="56" t="s">
        <v>16</v>
      </c>
      <c r="L43" s="20"/>
      <c r="M43" s="56" t="s">
        <v>16</v>
      </c>
      <c r="N43" s="20"/>
    </row>
    <row r="44" spans="1:14" ht="14.1">
      <c r="A44" s="23" t="s">
        <v>17</v>
      </c>
      <c r="B44" s="20"/>
      <c r="C44" s="22" t="s">
        <v>17</v>
      </c>
      <c r="D44" s="20"/>
      <c r="E44" s="23" t="s">
        <v>28</v>
      </c>
      <c r="F44" s="20"/>
      <c r="G44" s="22" t="s">
        <v>26</v>
      </c>
      <c r="H44" s="20"/>
      <c r="I44" s="22" t="s">
        <v>26</v>
      </c>
      <c r="J44" s="20"/>
      <c r="K44" s="22" t="s">
        <v>138</v>
      </c>
      <c r="L44" s="20"/>
      <c r="M44" s="22" t="s">
        <v>138</v>
      </c>
      <c r="N44" s="20"/>
    </row>
    <row r="45" spans="1:14" ht="18" customHeight="1">
      <c r="A45" s="25" t="s">
        <v>29</v>
      </c>
      <c r="B45" s="20"/>
      <c r="C45" s="31" t="s">
        <v>29</v>
      </c>
      <c r="D45" s="24"/>
      <c r="E45" s="25" t="s">
        <v>30</v>
      </c>
      <c r="F45" s="20"/>
      <c r="G45" s="31" t="s">
        <v>29</v>
      </c>
      <c r="H45" s="24"/>
      <c r="I45" s="31" t="s">
        <v>29</v>
      </c>
      <c r="J45" s="24"/>
      <c r="K45" s="31" t="s">
        <v>30</v>
      </c>
      <c r="L45" s="24"/>
      <c r="M45" s="31" t="s">
        <v>30</v>
      </c>
      <c r="N45" s="24"/>
    </row>
    <row r="46" spans="1:14" ht="18" customHeight="1">
      <c r="A46" s="2" t="str">
        <f>IF(M38="","",IF(MONTH(M38+1)&lt;&gt;MONTH($A$1),"",M38+1))</f>
        <v/>
      </c>
      <c r="B46" s="3"/>
      <c r="C46" s="2" t="str">
        <f>IF(A46="","",IF(MONTH(A46+1)&lt;&gt;MONTH($A$1),"",A46+1))</f>
        <v/>
      </c>
      <c r="D46" s="3"/>
      <c r="E46" s="46" t="s">
        <v>22</v>
      </c>
      <c r="F46" s="47"/>
      <c r="G46" s="48"/>
      <c r="H46" s="47"/>
      <c r="I46" s="47"/>
      <c r="J46" s="47"/>
      <c r="K46" s="47"/>
      <c r="L46" s="47"/>
      <c r="M46" s="47"/>
      <c r="N46" s="49"/>
    </row>
    <row r="47" spans="1:14" ht="14.1">
      <c r="A47" s="29" t="s">
        <v>52</v>
      </c>
      <c r="B47" s="20"/>
      <c r="C47" s="44"/>
      <c r="D47" s="20"/>
      <c r="E47" s="45" t="s">
        <v>261</v>
      </c>
      <c r="F47" s="37"/>
      <c r="G47" s="37"/>
      <c r="H47" s="37"/>
      <c r="I47" s="37"/>
      <c r="J47" s="37"/>
      <c r="K47" s="37"/>
      <c r="L47" s="37"/>
      <c r="M47" s="37"/>
      <c r="N47" s="20"/>
    </row>
    <row r="48" spans="1:14" ht="14.1">
      <c r="A48" s="27" t="s">
        <v>54</v>
      </c>
      <c r="B48" s="20"/>
      <c r="C48" s="26"/>
      <c r="D48" s="20"/>
      <c r="E48" s="45"/>
      <c r="F48" s="37"/>
      <c r="G48" s="37"/>
      <c r="H48" s="37"/>
      <c r="I48" s="37"/>
      <c r="J48" s="37"/>
      <c r="K48" s="37"/>
      <c r="L48" s="37"/>
      <c r="M48" s="37"/>
      <c r="N48" s="20"/>
    </row>
    <row r="49" spans="1:14" ht="14.1">
      <c r="A49" s="19" t="s">
        <v>45</v>
      </c>
      <c r="B49" s="20"/>
      <c r="C49" s="35"/>
      <c r="D49" s="20"/>
      <c r="E49" s="45"/>
      <c r="F49" s="37"/>
      <c r="G49" s="37"/>
      <c r="H49" s="37"/>
      <c r="I49" s="37"/>
      <c r="J49" s="37"/>
      <c r="K49" s="37"/>
      <c r="L49" s="37"/>
      <c r="M49" s="37"/>
      <c r="N49" s="20"/>
    </row>
    <row r="50" spans="1:14" ht="14.1">
      <c r="A50" s="21" t="s">
        <v>15</v>
      </c>
      <c r="B50" s="20"/>
      <c r="C50" s="30"/>
      <c r="D50" s="20"/>
      <c r="E50" s="6"/>
      <c r="F50" s="7"/>
      <c r="G50" s="7"/>
      <c r="H50" s="7"/>
      <c r="I50" s="7"/>
      <c r="J50" s="7"/>
      <c r="K50" s="7"/>
      <c r="L50" s="7"/>
      <c r="M50" s="7"/>
      <c r="N50" s="8"/>
    </row>
    <row r="51" spans="1:14" ht="14.1">
      <c r="A51" s="56" t="s">
        <v>13</v>
      </c>
      <c r="B51" s="20"/>
      <c r="C51" s="57"/>
      <c r="D51" s="20"/>
      <c r="E51" s="6"/>
      <c r="F51" s="7"/>
      <c r="G51" s="7"/>
      <c r="H51" s="7"/>
      <c r="I51" s="7"/>
      <c r="J51" s="7"/>
      <c r="K51" s="7"/>
      <c r="L51" s="7"/>
      <c r="M51" s="7"/>
      <c r="N51" s="8"/>
    </row>
    <row r="52" spans="1:14" ht="14.1">
      <c r="A52" s="23" t="s">
        <v>28</v>
      </c>
      <c r="B52" s="20"/>
      <c r="C52" s="22"/>
      <c r="D52" s="20"/>
      <c r="E52" s="6"/>
      <c r="F52" s="7"/>
      <c r="G52" s="7"/>
      <c r="H52" s="7"/>
      <c r="I52" s="7"/>
      <c r="J52" s="7"/>
      <c r="K52" s="7"/>
      <c r="L52" s="7"/>
      <c r="M52" s="7"/>
      <c r="N52" s="8"/>
    </row>
    <row r="53" spans="1:14" ht="14.1">
      <c r="A53" s="25" t="s">
        <v>77</v>
      </c>
      <c r="B53" s="20"/>
      <c r="C53" s="31"/>
      <c r="D53" s="24"/>
      <c r="E53" s="32" t="s">
        <v>23</v>
      </c>
      <c r="F53" s="33"/>
      <c r="G53" s="33"/>
      <c r="H53" s="33"/>
      <c r="I53" s="34" t="str">
        <f>HYPERLINK("https://www.vertex42.com/calendars/academic-calendar.html","https://www.vertex42.com/calendars/academic-calendar.html")</f>
        <v>https://www.vertex42.com/calendars/academic-calendar.html</v>
      </c>
      <c r="J53" s="33"/>
      <c r="K53" s="33"/>
      <c r="L53" s="33"/>
      <c r="M53" s="33"/>
      <c r="N53" s="24"/>
    </row>
  </sheetData>
  <mergeCells count="284">
    <mergeCell ref="A51:B51"/>
    <mergeCell ref="A52:B52"/>
    <mergeCell ref="C52:D52"/>
    <mergeCell ref="A53:B53"/>
    <mergeCell ref="C53:D53"/>
    <mergeCell ref="E53:H53"/>
    <mergeCell ref="I53:N53"/>
    <mergeCell ref="A48:B48"/>
    <mergeCell ref="A49:B49"/>
    <mergeCell ref="C49:D49"/>
    <mergeCell ref="E49:N49"/>
    <mergeCell ref="A50:B50"/>
    <mergeCell ref="C50:D50"/>
    <mergeCell ref="C51:D51"/>
    <mergeCell ref="A43:B43"/>
    <mergeCell ref="C43:D43"/>
    <mergeCell ref="E43:F43"/>
    <mergeCell ref="G43:H43"/>
    <mergeCell ref="I43:J43"/>
    <mergeCell ref="K43:L43"/>
    <mergeCell ref="M43:N43"/>
    <mergeCell ref="A44:B44"/>
    <mergeCell ref="C44:D44"/>
    <mergeCell ref="E44:F44"/>
    <mergeCell ref="G44:H44"/>
    <mergeCell ref="I44:J44"/>
    <mergeCell ref="K44:L44"/>
    <mergeCell ref="M44:N44"/>
    <mergeCell ref="K41:L41"/>
    <mergeCell ref="M41:N41"/>
    <mergeCell ref="A42:B42"/>
    <mergeCell ref="C42:D42"/>
    <mergeCell ref="E42:F42"/>
    <mergeCell ref="G42:H42"/>
    <mergeCell ref="I42:J42"/>
    <mergeCell ref="K42:L42"/>
    <mergeCell ref="M42:N42"/>
    <mergeCell ref="A47:B47"/>
    <mergeCell ref="C47:D47"/>
    <mergeCell ref="E47:N47"/>
    <mergeCell ref="C48:D48"/>
    <mergeCell ref="E48:N48"/>
    <mergeCell ref="A39:B39"/>
    <mergeCell ref="C39:D39"/>
    <mergeCell ref="E39:F39"/>
    <mergeCell ref="G39:H39"/>
    <mergeCell ref="I39:J39"/>
    <mergeCell ref="K39:L39"/>
    <mergeCell ref="M39:N39"/>
    <mergeCell ref="A40:B40"/>
    <mergeCell ref="C40:D40"/>
    <mergeCell ref="E40:F40"/>
    <mergeCell ref="G40:H40"/>
    <mergeCell ref="I40:J40"/>
    <mergeCell ref="K40:L40"/>
    <mergeCell ref="M40:N40"/>
    <mergeCell ref="A41:B41"/>
    <mergeCell ref="C41:D41"/>
    <mergeCell ref="E41:F41"/>
    <mergeCell ref="G41:H41"/>
    <mergeCell ref="I41:J41"/>
    <mergeCell ref="A45:B45"/>
    <mergeCell ref="C45:D45"/>
    <mergeCell ref="E45:F45"/>
    <mergeCell ref="G45:H45"/>
    <mergeCell ref="I45:J45"/>
    <mergeCell ref="K45:L45"/>
    <mergeCell ref="M45:N45"/>
    <mergeCell ref="E46:F46"/>
    <mergeCell ref="G46:N46"/>
    <mergeCell ref="A36:B36"/>
    <mergeCell ref="C36:D36"/>
    <mergeCell ref="E36:F36"/>
    <mergeCell ref="G36:H36"/>
    <mergeCell ref="I36:J36"/>
    <mergeCell ref="K36:L36"/>
    <mergeCell ref="M36:N36"/>
    <mergeCell ref="A37:B37"/>
    <mergeCell ref="C37:D37"/>
    <mergeCell ref="E37:F37"/>
    <mergeCell ref="G37:H37"/>
    <mergeCell ref="I37:J37"/>
    <mergeCell ref="K37:L37"/>
    <mergeCell ref="M37:N37"/>
    <mergeCell ref="A34:B34"/>
    <mergeCell ref="C34:D34"/>
    <mergeCell ref="E34:F34"/>
    <mergeCell ref="G34:H34"/>
    <mergeCell ref="I34:J34"/>
    <mergeCell ref="K34:L34"/>
    <mergeCell ref="M34:N34"/>
    <mergeCell ref="A35:B35"/>
    <mergeCell ref="C35:D35"/>
    <mergeCell ref="E35:F35"/>
    <mergeCell ref="G35:H35"/>
    <mergeCell ref="I35:J35"/>
    <mergeCell ref="K35:L35"/>
    <mergeCell ref="M35:N35"/>
    <mergeCell ref="A32:B32"/>
    <mergeCell ref="C32:D32"/>
    <mergeCell ref="E32:F32"/>
    <mergeCell ref="G32:H32"/>
    <mergeCell ref="I32:J32"/>
    <mergeCell ref="K32:L32"/>
    <mergeCell ref="M32:N32"/>
    <mergeCell ref="A33:B33"/>
    <mergeCell ref="C33:D33"/>
    <mergeCell ref="E33:F33"/>
    <mergeCell ref="G33:H33"/>
    <mergeCell ref="I33:J33"/>
    <mergeCell ref="K33:L33"/>
    <mergeCell ref="M33:N33"/>
    <mergeCell ref="A29:B29"/>
    <mergeCell ref="C29:D29"/>
    <mergeCell ref="E29:F29"/>
    <mergeCell ref="G29:H29"/>
    <mergeCell ref="I29:J29"/>
    <mergeCell ref="K29:L29"/>
    <mergeCell ref="M29:N29"/>
    <mergeCell ref="A31:B31"/>
    <mergeCell ref="C31:D31"/>
    <mergeCell ref="E31:F31"/>
    <mergeCell ref="G31:H31"/>
    <mergeCell ref="I31:J31"/>
    <mergeCell ref="K31:L31"/>
    <mergeCell ref="M31:N31"/>
    <mergeCell ref="A27:B27"/>
    <mergeCell ref="C27:D27"/>
    <mergeCell ref="E27:F27"/>
    <mergeCell ref="G27:H27"/>
    <mergeCell ref="I27:J27"/>
    <mergeCell ref="K27:L27"/>
    <mergeCell ref="M27:N27"/>
    <mergeCell ref="A28:B28"/>
    <mergeCell ref="C28:D28"/>
    <mergeCell ref="E28:F28"/>
    <mergeCell ref="G28:H28"/>
    <mergeCell ref="I28:J28"/>
    <mergeCell ref="K28:L28"/>
    <mergeCell ref="M28:N28"/>
    <mergeCell ref="A25:B25"/>
    <mergeCell ref="C25:D25"/>
    <mergeCell ref="E25:F25"/>
    <mergeCell ref="G25:H25"/>
    <mergeCell ref="I25:J25"/>
    <mergeCell ref="K25:L25"/>
    <mergeCell ref="M25:N25"/>
    <mergeCell ref="A26:B26"/>
    <mergeCell ref="C26:D26"/>
    <mergeCell ref="E26:F26"/>
    <mergeCell ref="G26:H26"/>
    <mergeCell ref="I26:J26"/>
    <mergeCell ref="K26:L26"/>
    <mergeCell ref="M26:N26"/>
    <mergeCell ref="A23:B23"/>
    <mergeCell ref="C23:D23"/>
    <mergeCell ref="E23:F23"/>
    <mergeCell ref="G23:H23"/>
    <mergeCell ref="I23:J23"/>
    <mergeCell ref="K23:L23"/>
    <mergeCell ref="M23:N23"/>
    <mergeCell ref="A24:B24"/>
    <mergeCell ref="C24:D24"/>
    <mergeCell ref="E24:F24"/>
    <mergeCell ref="G24:H24"/>
    <mergeCell ref="I24:J24"/>
    <mergeCell ref="K24:L24"/>
    <mergeCell ref="M24:N24"/>
    <mergeCell ref="A20:B20"/>
    <mergeCell ref="C20:D20"/>
    <mergeCell ref="E20:F20"/>
    <mergeCell ref="G20:H20"/>
    <mergeCell ref="I20:J20"/>
    <mergeCell ref="K20:L20"/>
    <mergeCell ref="M20:N20"/>
    <mergeCell ref="A21:B21"/>
    <mergeCell ref="C21:D21"/>
    <mergeCell ref="E21:F21"/>
    <mergeCell ref="G21:H21"/>
    <mergeCell ref="I21:J21"/>
    <mergeCell ref="K21:L21"/>
    <mergeCell ref="M21:N21"/>
    <mergeCell ref="A18:B18"/>
    <mergeCell ref="C18:D18"/>
    <mergeCell ref="E18:F18"/>
    <mergeCell ref="G18:H18"/>
    <mergeCell ref="I18:J18"/>
    <mergeCell ref="K18:L18"/>
    <mergeCell ref="M18:N18"/>
    <mergeCell ref="A19:B19"/>
    <mergeCell ref="C19:D19"/>
    <mergeCell ref="E19:F19"/>
    <mergeCell ref="G19:H19"/>
    <mergeCell ref="I19:J19"/>
    <mergeCell ref="K19:L19"/>
    <mergeCell ref="M19:N19"/>
    <mergeCell ref="A16:B16"/>
    <mergeCell ref="C16:D16"/>
    <mergeCell ref="E16:F16"/>
    <mergeCell ref="G16:H16"/>
    <mergeCell ref="I16:J16"/>
    <mergeCell ref="K16:L16"/>
    <mergeCell ref="M16:N16"/>
    <mergeCell ref="A17:B17"/>
    <mergeCell ref="C17:D17"/>
    <mergeCell ref="E17:F17"/>
    <mergeCell ref="G17:H17"/>
    <mergeCell ref="I17:J17"/>
    <mergeCell ref="K17:L17"/>
    <mergeCell ref="M17:N17"/>
    <mergeCell ref="A13:B13"/>
    <mergeCell ref="C13:D13"/>
    <mergeCell ref="E13:F13"/>
    <mergeCell ref="G13:H13"/>
    <mergeCell ref="I13:J13"/>
    <mergeCell ref="K13:L13"/>
    <mergeCell ref="M13:N13"/>
    <mergeCell ref="A15:B15"/>
    <mergeCell ref="C15:D15"/>
    <mergeCell ref="E15:F15"/>
    <mergeCell ref="G15:H15"/>
    <mergeCell ref="I15:J15"/>
    <mergeCell ref="K15:L15"/>
    <mergeCell ref="M15:N15"/>
    <mergeCell ref="K3:L3"/>
    <mergeCell ref="A7:B7"/>
    <mergeCell ref="C7:D7"/>
    <mergeCell ref="E7:F7"/>
    <mergeCell ref="G7:H7"/>
    <mergeCell ref="I7:J7"/>
    <mergeCell ref="K7:L7"/>
    <mergeCell ref="M7:N7"/>
    <mergeCell ref="A8:B8"/>
    <mergeCell ref="C8:D8"/>
    <mergeCell ref="E8:F8"/>
    <mergeCell ref="G8:H8"/>
    <mergeCell ref="I8:J8"/>
    <mergeCell ref="K8:L8"/>
    <mergeCell ref="M8:N8"/>
    <mergeCell ref="A1:B1"/>
    <mergeCell ref="K1:N1"/>
    <mergeCell ref="A2:N2"/>
    <mergeCell ref="A3:B3"/>
    <mergeCell ref="C3:D3"/>
    <mergeCell ref="E3:F3"/>
    <mergeCell ref="G3:H3"/>
    <mergeCell ref="A11:B11"/>
    <mergeCell ref="C11:D11"/>
    <mergeCell ref="E11:F11"/>
    <mergeCell ref="G11:H11"/>
    <mergeCell ref="I11:J11"/>
    <mergeCell ref="K11:L11"/>
    <mergeCell ref="M11:N11"/>
    <mergeCell ref="K5:L5"/>
    <mergeCell ref="M5:N5"/>
    <mergeCell ref="M3:N3"/>
    <mergeCell ref="A4:N4"/>
    <mergeCell ref="A5:B5"/>
    <mergeCell ref="C5:D5"/>
    <mergeCell ref="E5:F5"/>
    <mergeCell ref="G5:H5"/>
    <mergeCell ref="I5:J5"/>
    <mergeCell ref="I3:J3"/>
    <mergeCell ref="A12:B12"/>
    <mergeCell ref="C12:D12"/>
    <mergeCell ref="E12:F12"/>
    <mergeCell ref="G12:H12"/>
    <mergeCell ref="I12:J12"/>
    <mergeCell ref="K12:L12"/>
    <mergeCell ref="M12:N12"/>
    <mergeCell ref="A9:B9"/>
    <mergeCell ref="C9:D9"/>
    <mergeCell ref="E9:F9"/>
    <mergeCell ref="G9:H9"/>
    <mergeCell ref="I9:J9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</mergeCells>
  <printOptions horizontalCentered="1" gridLines="1"/>
  <pageMargins left="0.25" right="0.25" top="0.5" bottom="0.5" header="0" footer="0"/>
  <pageSetup pageOrder="overThenDown" orientation="landscape" cellComments="atEnd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  <pageSetUpPr fitToPage="1"/>
  </sheetPr>
  <dimension ref="A1:N53"/>
  <sheetViews>
    <sheetView showGridLines="0" topLeftCell="A2" workbookViewId="0"/>
  </sheetViews>
  <sheetFormatPr defaultColWidth="12.5703125" defaultRowHeight="12.75" customHeight="1"/>
  <cols>
    <col min="1" max="1" width="3.85546875" customWidth="1"/>
    <col min="2" max="2" width="13.42578125" customWidth="1"/>
    <col min="3" max="3" width="3.85546875" customWidth="1"/>
    <col min="4" max="4" width="13.42578125" customWidth="1"/>
    <col min="5" max="5" width="3.85546875" customWidth="1"/>
    <col min="6" max="6" width="13.42578125" customWidth="1"/>
    <col min="7" max="7" width="3.85546875" customWidth="1"/>
    <col min="8" max="8" width="13.42578125" customWidth="1"/>
    <col min="9" max="9" width="3.85546875" customWidth="1"/>
    <col min="10" max="10" width="17.42578125" customWidth="1"/>
    <col min="11" max="11" width="3.85546875" customWidth="1"/>
    <col min="12" max="12" width="13.42578125" customWidth="1"/>
    <col min="13" max="13" width="3.85546875" customWidth="1"/>
    <col min="14" max="14" width="13.42578125" customWidth="1"/>
  </cols>
  <sheetData>
    <row r="1" spans="1:14" ht="12.6" hidden="1">
      <c r="A1" s="36">
        <f>EDATE('©'!A17,5)</f>
        <v>45261</v>
      </c>
      <c r="B1" s="37"/>
      <c r="C1" s="1"/>
      <c r="D1" s="1"/>
      <c r="E1" s="1"/>
      <c r="F1" s="1"/>
      <c r="G1" s="1"/>
      <c r="H1" s="1"/>
      <c r="I1" s="1"/>
      <c r="J1" s="1"/>
      <c r="K1" s="38" t="s">
        <v>0</v>
      </c>
      <c r="L1" s="37"/>
      <c r="M1" s="37"/>
      <c r="N1" s="37"/>
    </row>
    <row r="2" spans="1:14" ht="18" customHeight="1">
      <c r="A2" s="39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1:14" ht="18" customHeight="1">
      <c r="A3" s="29" t="s">
        <v>2</v>
      </c>
      <c r="B3" s="37"/>
      <c r="C3" s="27" t="s">
        <v>3</v>
      </c>
      <c r="D3" s="37"/>
      <c r="E3" s="19" t="s">
        <v>4</v>
      </c>
      <c r="F3" s="37"/>
      <c r="G3" s="21" t="s">
        <v>5</v>
      </c>
      <c r="H3" s="37"/>
      <c r="I3" s="56" t="s">
        <v>6</v>
      </c>
      <c r="J3" s="37"/>
      <c r="K3" s="23" t="s">
        <v>7</v>
      </c>
      <c r="L3" s="37"/>
      <c r="M3" s="25" t="s">
        <v>8</v>
      </c>
      <c r="N3" s="37"/>
    </row>
    <row r="4" spans="1:14" ht="60.75" customHeight="1">
      <c r="A4" s="42" t="str">
        <f>UPPER(TEXT(A1,"mmmm yyyy"))</f>
        <v>DECEMBER 2023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</row>
    <row r="5" spans="1:14" ht="15" customHeight="1">
      <c r="A5" s="40">
        <f>A14</f>
        <v>45264</v>
      </c>
      <c r="B5" s="41"/>
      <c r="C5" s="40">
        <f>C14</f>
        <v>45265</v>
      </c>
      <c r="D5" s="41"/>
      <c r="E5" s="40">
        <f>E14</f>
        <v>45266</v>
      </c>
      <c r="F5" s="41"/>
      <c r="G5" s="40">
        <f>G14</f>
        <v>45267</v>
      </c>
      <c r="H5" s="41"/>
      <c r="I5" s="40">
        <f>I14</f>
        <v>45268</v>
      </c>
      <c r="J5" s="41"/>
      <c r="K5" s="40">
        <f>K14</f>
        <v>45269</v>
      </c>
      <c r="L5" s="41"/>
      <c r="M5" s="40">
        <f>M14</f>
        <v>45270</v>
      </c>
      <c r="N5" s="41"/>
    </row>
    <row r="6" spans="1:14" ht="18" customHeight="1">
      <c r="A6" s="2" t="str">
        <f>IF(WEEKDAY($A$1,1)=startday,$A$1,"")</f>
        <v/>
      </c>
      <c r="B6" s="3"/>
      <c r="C6" s="2" t="str">
        <f>IF(A6="",IF(WEEKDAY($A$1,1)=MOD(startday,7)+1,$A$1,""),A6+1)</f>
        <v/>
      </c>
      <c r="D6" s="3"/>
      <c r="E6" s="2" t="str">
        <f>IF(C6="",IF(WEEKDAY($A$1,1)=MOD(startday,7)+2,$A$1,""),C6+1)</f>
        <v/>
      </c>
      <c r="F6" s="3"/>
      <c r="G6" s="2" t="str">
        <f>IF(E6="",IF(WEEKDAY($A$1,1)=MOD(startday,7)+3,$A$1,""),E6+1)</f>
        <v/>
      </c>
      <c r="H6" s="3"/>
      <c r="I6" s="2">
        <f>IF(G6="",IF(WEEKDAY($A$1,1)=MOD(startday,7)+4,$A$1,""),G6+1)</f>
        <v>45261</v>
      </c>
      <c r="J6" s="3"/>
      <c r="K6" s="4">
        <f>IF(I6="",IF(WEEKDAY($A$1,1)=MOD(startday,7)+5,$A$1,""),I6+1)</f>
        <v>45262</v>
      </c>
      <c r="L6" s="5"/>
      <c r="M6" s="4">
        <f>IF(K6="",IF(WEEKDAY($A$1,1)=MOD(startday+5,7)+1,$A$1,""),K6+1)</f>
        <v>45263</v>
      </c>
      <c r="N6" s="5"/>
    </row>
    <row r="7" spans="1:14" ht="14.1">
      <c r="A7" s="29"/>
      <c r="B7" s="20"/>
      <c r="C7" s="44" t="s">
        <v>50</v>
      </c>
      <c r="D7" s="20"/>
      <c r="E7" s="44" t="s">
        <v>50</v>
      </c>
      <c r="F7" s="20"/>
      <c r="G7" s="44" t="s">
        <v>50</v>
      </c>
      <c r="H7" s="20"/>
      <c r="I7" s="44" t="s">
        <v>105</v>
      </c>
      <c r="J7" s="20"/>
      <c r="K7" s="44" t="s">
        <v>24</v>
      </c>
      <c r="L7" s="20"/>
      <c r="M7" s="44" t="s">
        <v>24</v>
      </c>
      <c r="N7" s="20"/>
    </row>
    <row r="8" spans="1:14" ht="14.1">
      <c r="A8" s="27"/>
      <c r="B8" s="20"/>
      <c r="C8" s="26" t="s">
        <v>54</v>
      </c>
      <c r="D8" s="20"/>
      <c r="E8" s="26" t="s">
        <v>54</v>
      </c>
      <c r="F8" s="20"/>
      <c r="G8" s="26" t="s">
        <v>54</v>
      </c>
      <c r="H8" s="20"/>
      <c r="I8" s="26" t="s">
        <v>54</v>
      </c>
      <c r="J8" s="20"/>
      <c r="K8" s="26" t="s">
        <v>54</v>
      </c>
      <c r="L8" s="20"/>
      <c r="M8" s="26" t="s">
        <v>54</v>
      </c>
      <c r="N8" s="20"/>
    </row>
    <row r="9" spans="1:14" ht="14.1">
      <c r="A9" s="19"/>
      <c r="B9" s="20"/>
      <c r="C9" s="35" t="s">
        <v>9</v>
      </c>
      <c r="D9" s="20"/>
      <c r="E9" s="19" t="s">
        <v>92</v>
      </c>
      <c r="F9" s="20"/>
      <c r="G9" s="35" t="s">
        <v>9</v>
      </c>
      <c r="H9" s="20"/>
      <c r="I9" s="35" t="s">
        <v>31</v>
      </c>
      <c r="J9" s="20"/>
      <c r="K9" s="35" t="s">
        <v>40</v>
      </c>
      <c r="L9" s="20"/>
      <c r="M9" s="35" t="s">
        <v>40</v>
      </c>
      <c r="N9" s="20"/>
    </row>
    <row r="10" spans="1:14" ht="14.1">
      <c r="A10" s="21"/>
      <c r="B10" s="20"/>
      <c r="C10" s="30" t="s">
        <v>15</v>
      </c>
      <c r="D10" s="20"/>
      <c r="E10" s="21" t="s">
        <v>15</v>
      </c>
      <c r="F10" s="20"/>
      <c r="G10" s="30" t="s">
        <v>15</v>
      </c>
      <c r="H10" s="20"/>
      <c r="I10" s="30" t="s">
        <v>24</v>
      </c>
      <c r="J10" s="20"/>
      <c r="K10" s="30" t="s">
        <v>24</v>
      </c>
      <c r="L10" s="20"/>
      <c r="M10" s="30" t="s">
        <v>24</v>
      </c>
      <c r="N10" s="20"/>
    </row>
    <row r="11" spans="1:14" ht="14.1">
      <c r="A11" s="56"/>
      <c r="B11" s="20"/>
      <c r="C11" s="57" t="s">
        <v>13</v>
      </c>
      <c r="D11" s="20"/>
      <c r="E11" s="57" t="s">
        <v>13</v>
      </c>
      <c r="F11" s="20"/>
      <c r="G11" s="57" t="s">
        <v>13</v>
      </c>
      <c r="H11" s="20"/>
      <c r="I11" s="57" t="s">
        <v>13</v>
      </c>
      <c r="J11" s="20"/>
      <c r="K11" s="57" t="s">
        <v>13</v>
      </c>
      <c r="L11" s="20"/>
      <c r="M11" s="57" t="s">
        <v>13</v>
      </c>
      <c r="N11" s="20"/>
    </row>
    <row r="12" spans="1:14" ht="19.5" customHeight="1">
      <c r="A12" s="23"/>
      <c r="B12" s="20"/>
      <c r="C12" s="22" t="s">
        <v>262</v>
      </c>
      <c r="D12" s="20"/>
      <c r="E12" s="23" t="s">
        <v>263</v>
      </c>
      <c r="F12" s="20"/>
      <c r="G12" s="22" t="s">
        <v>27</v>
      </c>
      <c r="H12" s="20"/>
      <c r="I12" s="22" t="s">
        <v>264</v>
      </c>
      <c r="J12" s="20"/>
      <c r="K12" s="22" t="s">
        <v>137</v>
      </c>
      <c r="L12" s="20"/>
      <c r="M12" s="22" t="s">
        <v>137</v>
      </c>
      <c r="N12" s="20"/>
    </row>
    <row r="13" spans="1:14" ht="18" customHeight="1">
      <c r="A13" s="25"/>
      <c r="B13" s="20"/>
      <c r="C13" s="31" t="s">
        <v>30</v>
      </c>
      <c r="D13" s="24"/>
      <c r="E13" s="31" t="s">
        <v>30</v>
      </c>
      <c r="F13" s="24"/>
      <c r="G13" s="31" t="s">
        <v>30</v>
      </c>
      <c r="H13" s="24"/>
      <c r="I13" s="31" t="s">
        <v>30</v>
      </c>
      <c r="J13" s="24"/>
      <c r="K13" s="31" t="s">
        <v>30</v>
      </c>
      <c r="L13" s="24"/>
      <c r="M13" s="31" t="s">
        <v>30</v>
      </c>
      <c r="N13" s="24"/>
    </row>
    <row r="14" spans="1:14" ht="18" customHeight="1">
      <c r="A14" s="2">
        <f>M6+1</f>
        <v>45264</v>
      </c>
      <c r="B14" s="3"/>
      <c r="C14" s="2">
        <f>A14+1</f>
        <v>45265</v>
      </c>
      <c r="D14" s="3"/>
      <c r="E14" s="2">
        <f>C14+1</f>
        <v>45266</v>
      </c>
      <c r="F14" s="3"/>
      <c r="G14" s="2">
        <f>E14+1</f>
        <v>45267</v>
      </c>
      <c r="H14" s="3"/>
      <c r="I14" s="2">
        <f>G14+1</f>
        <v>45268</v>
      </c>
      <c r="J14" s="3"/>
      <c r="K14" s="4">
        <f>I14+1</f>
        <v>45269</v>
      </c>
      <c r="L14" s="5"/>
      <c r="M14" s="4">
        <f>K14+1</f>
        <v>45270</v>
      </c>
      <c r="N14" s="5"/>
    </row>
    <row r="15" spans="1:14" ht="14.1">
      <c r="A15" s="29" t="s">
        <v>85</v>
      </c>
      <c r="B15" s="20"/>
      <c r="C15" s="44" t="s">
        <v>24</v>
      </c>
      <c r="D15" s="20"/>
      <c r="E15" s="29" t="s">
        <v>135</v>
      </c>
      <c r="F15" s="20"/>
      <c r="G15" s="44" t="s">
        <v>24</v>
      </c>
      <c r="H15" s="20"/>
      <c r="I15" s="44" t="s">
        <v>31</v>
      </c>
      <c r="J15" s="20"/>
      <c r="K15" s="44" t="s">
        <v>9</v>
      </c>
      <c r="L15" s="20"/>
      <c r="M15" s="44" t="s">
        <v>9</v>
      </c>
      <c r="N15" s="20"/>
    </row>
    <row r="16" spans="1:14" ht="14.1">
      <c r="A16" s="27" t="s">
        <v>16</v>
      </c>
      <c r="B16" s="20"/>
      <c r="C16" s="27" t="s">
        <v>16</v>
      </c>
      <c r="D16" s="20"/>
      <c r="E16" s="27" t="s">
        <v>16</v>
      </c>
      <c r="F16" s="20"/>
      <c r="G16" s="27" t="s">
        <v>16</v>
      </c>
      <c r="H16" s="20"/>
      <c r="I16" s="27" t="s">
        <v>16</v>
      </c>
      <c r="J16" s="20"/>
      <c r="K16" s="27" t="s">
        <v>16</v>
      </c>
      <c r="L16" s="20"/>
      <c r="M16" s="27" t="s">
        <v>16</v>
      </c>
      <c r="N16" s="20"/>
    </row>
    <row r="17" spans="1:14" ht="14.1">
      <c r="A17" s="19" t="s">
        <v>45</v>
      </c>
      <c r="B17" s="20"/>
      <c r="C17" s="35" t="s">
        <v>9</v>
      </c>
      <c r="D17" s="20"/>
      <c r="E17" s="19" t="s">
        <v>53</v>
      </c>
      <c r="F17" s="20"/>
      <c r="G17" s="35" t="s">
        <v>9</v>
      </c>
      <c r="H17" s="20"/>
      <c r="I17" s="35" t="s">
        <v>75</v>
      </c>
      <c r="J17" s="20"/>
      <c r="K17" s="35" t="s">
        <v>32</v>
      </c>
      <c r="L17" s="20"/>
      <c r="M17" s="35" t="s">
        <v>32</v>
      </c>
      <c r="N17" s="20"/>
    </row>
    <row r="18" spans="1:14" ht="14.1">
      <c r="A18" s="21" t="s">
        <v>24</v>
      </c>
      <c r="B18" s="20"/>
      <c r="C18" s="21" t="s">
        <v>24</v>
      </c>
      <c r="D18" s="20"/>
      <c r="E18" s="21" t="s">
        <v>24</v>
      </c>
      <c r="F18" s="20"/>
      <c r="G18" s="21" t="s">
        <v>24</v>
      </c>
      <c r="H18" s="20"/>
      <c r="I18" s="21" t="s">
        <v>24</v>
      </c>
      <c r="J18" s="20"/>
      <c r="K18" s="21" t="s">
        <v>24</v>
      </c>
      <c r="L18" s="20"/>
      <c r="M18" s="21" t="s">
        <v>24</v>
      </c>
      <c r="N18" s="20"/>
    </row>
    <row r="19" spans="1:14" ht="14.1">
      <c r="A19" s="56" t="s">
        <v>25</v>
      </c>
      <c r="B19" s="20"/>
      <c r="C19" s="56" t="s">
        <v>25</v>
      </c>
      <c r="D19" s="20"/>
      <c r="E19" s="56" t="s">
        <v>25</v>
      </c>
      <c r="F19" s="20"/>
      <c r="G19" s="56" t="s">
        <v>25</v>
      </c>
      <c r="H19" s="20"/>
      <c r="I19" s="56" t="s">
        <v>25</v>
      </c>
      <c r="J19" s="20"/>
      <c r="K19" s="56" t="s">
        <v>25</v>
      </c>
      <c r="L19" s="20"/>
      <c r="M19" s="56" t="s">
        <v>25</v>
      </c>
      <c r="N19" s="20"/>
    </row>
    <row r="20" spans="1:14" ht="14.1">
      <c r="A20" s="23" t="s">
        <v>26</v>
      </c>
      <c r="B20" s="20"/>
      <c r="C20" s="22" t="s">
        <v>26</v>
      </c>
      <c r="D20" s="20"/>
      <c r="E20" s="22" t="s">
        <v>28</v>
      </c>
      <c r="F20" s="20"/>
      <c r="G20" s="22" t="s">
        <v>27</v>
      </c>
      <c r="H20" s="20"/>
      <c r="I20" s="22" t="s">
        <v>26</v>
      </c>
      <c r="J20" s="20"/>
      <c r="K20" s="22" t="s">
        <v>26</v>
      </c>
      <c r="L20" s="20"/>
      <c r="M20" s="22" t="s">
        <v>26</v>
      </c>
      <c r="N20" s="20"/>
    </row>
    <row r="21" spans="1:14" ht="18" customHeight="1">
      <c r="A21" s="25" t="s">
        <v>63</v>
      </c>
      <c r="B21" s="20"/>
      <c r="C21" s="31" t="s">
        <v>63</v>
      </c>
      <c r="D21" s="24"/>
      <c r="E21" s="25" t="s">
        <v>50</v>
      </c>
      <c r="F21" s="20"/>
      <c r="G21" s="31" t="s">
        <v>50</v>
      </c>
      <c r="H21" s="24"/>
      <c r="I21" s="31" t="s">
        <v>63</v>
      </c>
      <c r="J21" s="24"/>
      <c r="K21" s="31" t="s">
        <v>20</v>
      </c>
      <c r="L21" s="24"/>
      <c r="M21" s="31" t="s">
        <v>20</v>
      </c>
      <c r="N21" s="24"/>
    </row>
    <row r="22" spans="1:14" ht="18" customHeight="1">
      <c r="A22" s="2">
        <f>M14+1</f>
        <v>45271</v>
      </c>
      <c r="B22" s="3"/>
      <c r="C22" s="2">
        <f>A22+1</f>
        <v>45272</v>
      </c>
      <c r="D22" s="3"/>
      <c r="E22" s="2">
        <f>C22+1</f>
        <v>45273</v>
      </c>
      <c r="F22" s="3"/>
      <c r="G22" s="2">
        <f>E22+1</f>
        <v>45274</v>
      </c>
      <c r="H22" s="3"/>
      <c r="I22" s="2">
        <f>G22+1</f>
        <v>45275</v>
      </c>
      <c r="J22" s="3"/>
      <c r="K22" s="4">
        <f>I22+1</f>
        <v>45276</v>
      </c>
      <c r="L22" s="5"/>
      <c r="M22" s="4">
        <f>K22+1</f>
        <v>45277</v>
      </c>
      <c r="N22" s="5"/>
    </row>
    <row r="23" spans="1:14" ht="14.1">
      <c r="A23" s="29" t="s">
        <v>92</v>
      </c>
      <c r="B23" s="20"/>
      <c r="C23" s="44" t="s">
        <v>9</v>
      </c>
      <c r="D23" s="20"/>
      <c r="E23" s="29" t="s">
        <v>53</v>
      </c>
      <c r="F23" s="20"/>
      <c r="G23" s="44" t="s">
        <v>9</v>
      </c>
      <c r="H23" s="20"/>
      <c r="I23" s="44" t="s">
        <v>49</v>
      </c>
      <c r="J23" s="20"/>
      <c r="K23" s="44" t="s">
        <v>50</v>
      </c>
      <c r="L23" s="20"/>
      <c r="M23" s="44" t="s">
        <v>50</v>
      </c>
      <c r="N23" s="20"/>
    </row>
    <row r="24" spans="1:14" ht="14.1">
      <c r="A24" s="27" t="s">
        <v>38</v>
      </c>
      <c r="B24" s="20"/>
      <c r="C24" s="27" t="s">
        <v>38</v>
      </c>
      <c r="D24" s="20"/>
      <c r="E24" s="27" t="s">
        <v>38</v>
      </c>
      <c r="F24" s="20"/>
      <c r="G24" s="27" t="s">
        <v>38</v>
      </c>
      <c r="H24" s="20"/>
      <c r="I24" s="27" t="s">
        <v>38</v>
      </c>
      <c r="J24" s="20"/>
      <c r="K24" s="27" t="s">
        <v>38</v>
      </c>
      <c r="L24" s="20"/>
      <c r="M24" s="27" t="s">
        <v>38</v>
      </c>
      <c r="N24" s="20"/>
    </row>
    <row r="25" spans="1:14" ht="14.1">
      <c r="A25" s="19" t="s">
        <v>11</v>
      </c>
      <c r="B25" s="20"/>
      <c r="C25" s="35" t="s">
        <v>11</v>
      </c>
      <c r="D25" s="20"/>
      <c r="E25" s="19" t="s">
        <v>10</v>
      </c>
      <c r="F25" s="20"/>
      <c r="G25" s="35" t="s">
        <v>11</v>
      </c>
      <c r="H25" s="20"/>
      <c r="I25" s="35" t="s">
        <v>82</v>
      </c>
      <c r="J25" s="20"/>
      <c r="K25" s="35" t="s">
        <v>88</v>
      </c>
      <c r="L25" s="20"/>
      <c r="M25" s="35" t="s">
        <v>88</v>
      </c>
      <c r="N25" s="20"/>
    </row>
    <row r="26" spans="1:14" ht="14.1">
      <c r="A26" s="21" t="s">
        <v>24</v>
      </c>
      <c r="B26" s="20"/>
      <c r="C26" s="21" t="s">
        <v>24</v>
      </c>
      <c r="D26" s="20"/>
      <c r="E26" s="21" t="s">
        <v>24</v>
      </c>
      <c r="F26" s="20"/>
      <c r="G26" s="30" t="s">
        <v>15</v>
      </c>
      <c r="H26" s="20"/>
      <c r="I26" s="30" t="s">
        <v>15</v>
      </c>
      <c r="J26" s="20"/>
      <c r="K26" s="30" t="s">
        <v>15</v>
      </c>
      <c r="L26" s="20"/>
      <c r="M26" s="30" t="s">
        <v>15</v>
      </c>
      <c r="N26" s="20"/>
    </row>
    <row r="27" spans="1:14" ht="14.1">
      <c r="A27" s="56" t="s">
        <v>43</v>
      </c>
      <c r="B27" s="20"/>
      <c r="C27" s="56" t="s">
        <v>43</v>
      </c>
      <c r="D27" s="20"/>
      <c r="E27" s="56" t="s">
        <v>43</v>
      </c>
      <c r="F27" s="20"/>
      <c r="G27" s="56" t="s">
        <v>43</v>
      </c>
      <c r="H27" s="20"/>
      <c r="I27" s="56" t="s">
        <v>43</v>
      </c>
      <c r="J27" s="20"/>
      <c r="K27" s="56" t="s">
        <v>43</v>
      </c>
      <c r="L27" s="20"/>
      <c r="M27" s="56" t="s">
        <v>43</v>
      </c>
      <c r="N27" s="20"/>
    </row>
    <row r="28" spans="1:14" ht="14.1">
      <c r="A28" s="23" t="s">
        <v>27</v>
      </c>
      <c r="B28" s="20"/>
      <c r="C28" s="22" t="s">
        <v>27</v>
      </c>
      <c r="D28" s="20"/>
      <c r="E28" s="23" t="s">
        <v>28</v>
      </c>
      <c r="F28" s="20"/>
      <c r="G28" s="22" t="s">
        <v>33</v>
      </c>
      <c r="H28" s="20"/>
      <c r="I28" s="22" t="s">
        <v>28</v>
      </c>
      <c r="J28" s="20"/>
      <c r="K28" s="22" t="s">
        <v>138</v>
      </c>
      <c r="L28" s="20"/>
      <c r="M28" s="22" t="s">
        <v>138</v>
      </c>
      <c r="N28" s="20"/>
    </row>
    <row r="29" spans="1:14" ht="18" customHeight="1">
      <c r="A29" s="25" t="s">
        <v>50</v>
      </c>
      <c r="B29" s="20"/>
      <c r="C29" s="31" t="s">
        <v>50</v>
      </c>
      <c r="D29" s="24"/>
      <c r="E29" s="25" t="s">
        <v>50</v>
      </c>
      <c r="F29" s="20"/>
      <c r="G29" s="31" t="s">
        <v>50</v>
      </c>
      <c r="H29" s="24"/>
      <c r="I29" s="31" t="s">
        <v>30</v>
      </c>
      <c r="J29" s="24"/>
      <c r="K29" s="31" t="s">
        <v>30</v>
      </c>
      <c r="L29" s="24"/>
      <c r="M29" s="31" t="s">
        <v>30</v>
      </c>
      <c r="N29" s="24"/>
    </row>
    <row r="30" spans="1:14" ht="18" customHeight="1">
      <c r="A30" s="2">
        <f>M22+1</f>
        <v>45278</v>
      </c>
      <c r="B30" s="3"/>
      <c r="C30" s="2">
        <f>A30+1</f>
        <v>45279</v>
      </c>
      <c r="D30" s="3"/>
      <c r="E30" s="2">
        <f>C30+1</f>
        <v>45280</v>
      </c>
      <c r="F30" s="3"/>
      <c r="G30" s="2">
        <f>E30+1</f>
        <v>45281</v>
      </c>
      <c r="H30" s="3"/>
      <c r="I30" s="2">
        <f>G30+1</f>
        <v>45282</v>
      </c>
      <c r="J30" s="3"/>
      <c r="K30" s="4">
        <f>I30+1</f>
        <v>45283</v>
      </c>
      <c r="L30" s="5"/>
      <c r="M30" s="4">
        <f>K30+1</f>
        <v>45284</v>
      </c>
      <c r="N30" s="5"/>
    </row>
    <row r="31" spans="1:14" ht="14.1">
      <c r="A31" s="29" t="s">
        <v>52</v>
      </c>
      <c r="B31" s="20"/>
      <c r="C31" s="44" t="s">
        <v>50</v>
      </c>
      <c r="D31" s="20"/>
      <c r="E31" s="44" t="s">
        <v>50</v>
      </c>
      <c r="F31" s="20"/>
      <c r="G31" s="44" t="s">
        <v>50</v>
      </c>
      <c r="H31" s="20"/>
      <c r="I31" s="44" t="s">
        <v>11</v>
      </c>
      <c r="J31" s="20"/>
      <c r="K31" s="44" t="s">
        <v>11</v>
      </c>
      <c r="L31" s="20"/>
      <c r="M31" s="44" t="s">
        <v>11</v>
      </c>
      <c r="N31" s="20"/>
    </row>
    <row r="32" spans="1:14" ht="14.1">
      <c r="A32" s="27" t="s">
        <v>51</v>
      </c>
      <c r="B32" s="20"/>
      <c r="C32" s="27" t="s">
        <v>51</v>
      </c>
      <c r="D32" s="20"/>
      <c r="E32" s="27" t="s">
        <v>51</v>
      </c>
      <c r="F32" s="20"/>
      <c r="G32" s="27" t="s">
        <v>51</v>
      </c>
      <c r="H32" s="20"/>
      <c r="I32" s="27" t="s">
        <v>51</v>
      </c>
      <c r="J32" s="20"/>
      <c r="K32" s="27" t="s">
        <v>51</v>
      </c>
      <c r="L32" s="20"/>
      <c r="M32" s="27" t="s">
        <v>51</v>
      </c>
      <c r="N32" s="20"/>
    </row>
    <row r="33" spans="1:14" ht="14.1">
      <c r="A33" s="19" t="s">
        <v>39</v>
      </c>
      <c r="B33" s="20"/>
      <c r="C33" s="35" t="s">
        <v>11</v>
      </c>
      <c r="D33" s="20"/>
      <c r="E33" s="19" t="s">
        <v>10</v>
      </c>
      <c r="F33" s="20"/>
      <c r="G33" s="35" t="s">
        <v>10</v>
      </c>
      <c r="H33" s="20"/>
      <c r="I33" s="35" t="s">
        <v>13</v>
      </c>
      <c r="J33" s="20"/>
      <c r="K33" s="35" t="s">
        <v>14</v>
      </c>
      <c r="L33" s="20"/>
      <c r="M33" s="35" t="s">
        <v>13</v>
      </c>
      <c r="N33" s="20"/>
    </row>
    <row r="34" spans="1:14" ht="14.1">
      <c r="A34" s="21" t="s">
        <v>15</v>
      </c>
      <c r="B34" s="20"/>
      <c r="C34" s="21" t="s">
        <v>15</v>
      </c>
      <c r="D34" s="20"/>
      <c r="E34" s="21" t="s">
        <v>15</v>
      </c>
      <c r="F34" s="20"/>
      <c r="G34" s="21" t="s">
        <v>15</v>
      </c>
      <c r="H34" s="20"/>
      <c r="I34" s="21" t="s">
        <v>15</v>
      </c>
      <c r="J34" s="20"/>
      <c r="K34" s="21" t="s">
        <v>15</v>
      </c>
      <c r="L34" s="20"/>
      <c r="M34" s="21" t="s">
        <v>15</v>
      </c>
      <c r="N34" s="20"/>
    </row>
    <row r="35" spans="1:14" ht="14.1">
      <c r="A35" s="56" t="s">
        <v>13</v>
      </c>
      <c r="B35" s="20"/>
      <c r="C35" s="56" t="s">
        <v>13</v>
      </c>
      <c r="D35" s="20"/>
      <c r="E35" s="56" t="s">
        <v>13</v>
      </c>
      <c r="F35" s="20"/>
      <c r="G35" s="56" t="s">
        <v>13</v>
      </c>
      <c r="H35" s="20"/>
      <c r="I35" s="56" t="s">
        <v>13</v>
      </c>
      <c r="J35" s="20"/>
      <c r="K35" s="56" t="s">
        <v>25</v>
      </c>
      <c r="L35" s="20"/>
      <c r="M35" s="56" t="s">
        <v>25</v>
      </c>
      <c r="N35" s="20"/>
    </row>
    <row r="36" spans="1:14" ht="14.1">
      <c r="A36" s="23" t="s">
        <v>28</v>
      </c>
      <c r="B36" s="20"/>
      <c r="C36" s="23" t="s">
        <v>17</v>
      </c>
      <c r="D36" s="20"/>
      <c r="E36" s="23" t="s">
        <v>28</v>
      </c>
      <c r="F36" s="20"/>
      <c r="G36" s="23" t="s">
        <v>17</v>
      </c>
      <c r="H36" s="20"/>
      <c r="I36" s="22" t="s">
        <v>26</v>
      </c>
      <c r="J36" s="20"/>
      <c r="K36" s="22" t="s">
        <v>17</v>
      </c>
      <c r="L36" s="20"/>
      <c r="M36" s="22" t="s">
        <v>17</v>
      </c>
      <c r="N36" s="20"/>
    </row>
    <row r="37" spans="1:14" ht="18" customHeight="1">
      <c r="A37" s="25" t="s">
        <v>77</v>
      </c>
      <c r="B37" s="20"/>
      <c r="C37" s="31" t="s">
        <v>29</v>
      </c>
      <c r="D37" s="24"/>
      <c r="E37" s="25" t="s">
        <v>30</v>
      </c>
      <c r="F37" s="20"/>
      <c r="G37" s="31" t="s">
        <v>29</v>
      </c>
      <c r="H37" s="24"/>
      <c r="I37" s="31" t="s">
        <v>29</v>
      </c>
      <c r="J37" s="24"/>
      <c r="K37" s="31" t="s">
        <v>146</v>
      </c>
      <c r="L37" s="24"/>
      <c r="M37" s="31" t="s">
        <v>146</v>
      </c>
      <c r="N37" s="24"/>
    </row>
    <row r="38" spans="1:14" ht="18" customHeight="1">
      <c r="A38" s="2">
        <f>IF(M30="","",IF(MONTH(M30+1)&lt;&gt;MONTH($A$1),"",M30+1))</f>
        <v>45285</v>
      </c>
      <c r="B38" s="3"/>
      <c r="C38" s="2">
        <f>IF(A38="","",IF(MONTH(A38+1)&lt;&gt;MONTH($A$1),"",A38+1))</f>
        <v>45286</v>
      </c>
      <c r="D38" s="3"/>
      <c r="E38" s="2">
        <f>IF(C38="","",IF(MONTH(C38+1)&lt;&gt;MONTH($A$1),"",C38+1))</f>
        <v>45287</v>
      </c>
      <c r="F38" s="3"/>
      <c r="G38" s="2">
        <f>IF(E38="","",IF(MONTH(E38+1)&lt;&gt;MONTH($A$1),"",E38+1))</f>
        <v>45288</v>
      </c>
      <c r="H38" s="3"/>
      <c r="I38" s="2">
        <f>IF(G38="","",IF(MONTH(G38+1)&lt;&gt;MONTH($A$1),"",G38+1))</f>
        <v>45289</v>
      </c>
      <c r="J38" s="3"/>
      <c r="K38" s="4">
        <f>IF(I38="","",IF(MONTH(I38+1)&lt;&gt;MONTH($A$1),"",I38+1))</f>
        <v>45290</v>
      </c>
      <c r="L38" s="5"/>
      <c r="M38" s="4">
        <f>IF(K38="","",IF(MONTH(K38+1)&lt;&gt;MONTH($A$1),"",K38+1))</f>
        <v>45291</v>
      </c>
      <c r="N38" s="5"/>
    </row>
    <row r="39" spans="1:14" ht="14.1">
      <c r="A39" s="29" t="s">
        <v>9</v>
      </c>
      <c r="B39" s="20"/>
      <c r="C39" s="29" t="s">
        <v>9</v>
      </c>
      <c r="D39" s="20"/>
      <c r="E39" s="29" t="s">
        <v>9</v>
      </c>
      <c r="F39" s="20"/>
      <c r="G39" s="44" t="s">
        <v>24</v>
      </c>
      <c r="H39" s="20"/>
      <c r="I39" s="44"/>
      <c r="J39" s="20"/>
      <c r="K39" s="44"/>
      <c r="L39" s="20"/>
      <c r="M39" s="44"/>
      <c r="N39" s="20"/>
    </row>
    <row r="40" spans="1:14" ht="14.1">
      <c r="A40" s="27" t="s">
        <v>42</v>
      </c>
      <c r="B40" s="20"/>
      <c r="C40" s="27" t="s">
        <v>42</v>
      </c>
      <c r="D40" s="20"/>
      <c r="E40" s="27" t="s">
        <v>42</v>
      </c>
      <c r="F40" s="20"/>
      <c r="G40" s="27" t="s">
        <v>42</v>
      </c>
      <c r="H40" s="20"/>
      <c r="I40" s="26"/>
      <c r="J40" s="20"/>
      <c r="K40" s="26"/>
      <c r="L40" s="20"/>
      <c r="M40" s="26"/>
      <c r="N40" s="20"/>
    </row>
    <row r="41" spans="1:14" ht="14.1">
      <c r="A41" s="19" t="s">
        <v>55</v>
      </c>
      <c r="B41" s="20"/>
      <c r="C41" s="35" t="s">
        <v>13</v>
      </c>
      <c r="D41" s="20"/>
      <c r="E41" s="19" t="s">
        <v>55</v>
      </c>
      <c r="F41" s="20"/>
      <c r="G41" s="35" t="s">
        <v>13</v>
      </c>
      <c r="H41" s="20"/>
      <c r="I41" s="35"/>
      <c r="J41" s="20"/>
      <c r="K41" s="35"/>
      <c r="L41" s="20"/>
      <c r="M41" s="35"/>
      <c r="N41" s="20"/>
    </row>
    <row r="42" spans="1:14" ht="14.1">
      <c r="A42" s="21" t="s">
        <v>15</v>
      </c>
      <c r="B42" s="20"/>
      <c r="C42" s="21" t="s">
        <v>15</v>
      </c>
      <c r="D42" s="20"/>
      <c r="E42" s="21" t="s">
        <v>15</v>
      </c>
      <c r="F42" s="20"/>
      <c r="G42" s="30" t="s">
        <v>24</v>
      </c>
      <c r="H42" s="20"/>
      <c r="I42" s="30"/>
      <c r="J42" s="20"/>
      <c r="K42" s="30"/>
      <c r="L42" s="20"/>
      <c r="M42" s="30"/>
      <c r="N42" s="20"/>
    </row>
    <row r="43" spans="1:14" ht="14.1">
      <c r="A43" s="56" t="s">
        <v>16</v>
      </c>
      <c r="B43" s="20"/>
      <c r="C43" s="56" t="s">
        <v>16</v>
      </c>
      <c r="D43" s="20"/>
      <c r="E43" s="56" t="s">
        <v>16</v>
      </c>
      <c r="F43" s="20"/>
      <c r="G43" s="56" t="s">
        <v>16</v>
      </c>
      <c r="H43" s="20"/>
      <c r="I43" s="57"/>
      <c r="J43" s="20"/>
      <c r="K43" s="57"/>
      <c r="L43" s="20"/>
      <c r="M43" s="57"/>
      <c r="N43" s="20"/>
    </row>
    <row r="44" spans="1:14" ht="14.1">
      <c r="A44" s="23" t="s">
        <v>26</v>
      </c>
      <c r="B44" s="20"/>
      <c r="C44" s="22" t="s">
        <v>27</v>
      </c>
      <c r="D44" s="20"/>
      <c r="E44" s="23" t="s">
        <v>28</v>
      </c>
      <c r="F44" s="20"/>
      <c r="G44" s="22" t="s">
        <v>27</v>
      </c>
      <c r="H44" s="20"/>
      <c r="I44" s="22"/>
      <c r="J44" s="20"/>
      <c r="K44" s="22"/>
      <c r="L44" s="20"/>
      <c r="M44" s="22"/>
      <c r="N44" s="20"/>
    </row>
    <row r="45" spans="1:14" ht="18" customHeight="1">
      <c r="A45" s="25" t="s">
        <v>63</v>
      </c>
      <c r="B45" s="20"/>
      <c r="C45" s="31" t="s">
        <v>50</v>
      </c>
      <c r="D45" s="24"/>
      <c r="E45" s="31" t="s">
        <v>50</v>
      </c>
      <c r="F45" s="24"/>
      <c r="G45" s="31" t="s">
        <v>50</v>
      </c>
      <c r="H45" s="24"/>
      <c r="I45" s="31"/>
      <c r="J45" s="24"/>
      <c r="K45" s="31"/>
      <c r="L45" s="24"/>
      <c r="M45" s="31"/>
      <c r="N45" s="24"/>
    </row>
    <row r="46" spans="1:14" ht="18" customHeight="1">
      <c r="A46" s="2" t="str">
        <f>IF(M38="","",IF(MONTH(M38+1)&lt;&gt;MONTH($A$1),"",M38+1))</f>
        <v/>
      </c>
      <c r="B46" s="3"/>
      <c r="C46" s="2" t="str">
        <f>IF(A46="","",IF(MONTH(A46+1)&lt;&gt;MONTH($A$1),"",A46+1))</f>
        <v/>
      </c>
      <c r="D46" s="3"/>
      <c r="E46" s="46" t="s">
        <v>22</v>
      </c>
      <c r="F46" s="47"/>
      <c r="G46" s="48"/>
      <c r="H46" s="47"/>
      <c r="I46" s="47"/>
      <c r="J46" s="47"/>
      <c r="K46" s="47"/>
      <c r="L46" s="47"/>
      <c r="M46" s="47"/>
      <c r="N46" s="49"/>
    </row>
    <row r="47" spans="1:14" ht="14.1">
      <c r="A47" s="29"/>
      <c r="B47" s="20"/>
      <c r="C47" s="44"/>
      <c r="D47" s="20"/>
      <c r="E47" s="45"/>
      <c r="F47" s="37"/>
      <c r="G47" s="37"/>
      <c r="H47" s="37"/>
      <c r="I47" s="37"/>
      <c r="J47" s="37"/>
      <c r="K47" s="37"/>
      <c r="L47" s="37"/>
      <c r="M47" s="37"/>
      <c r="N47" s="20"/>
    </row>
    <row r="48" spans="1:14" ht="14.1">
      <c r="A48" s="27"/>
      <c r="B48" s="20"/>
      <c r="C48" s="26"/>
      <c r="D48" s="20"/>
      <c r="E48" s="45"/>
      <c r="F48" s="37"/>
      <c r="G48" s="37"/>
      <c r="H48" s="37"/>
      <c r="I48" s="37"/>
      <c r="J48" s="37"/>
      <c r="K48" s="37"/>
      <c r="L48" s="37"/>
      <c r="M48" s="37"/>
      <c r="N48" s="20"/>
    </row>
    <row r="49" spans="1:14" ht="14.1">
      <c r="A49" s="19"/>
      <c r="B49" s="20"/>
      <c r="C49" s="35"/>
      <c r="D49" s="20"/>
      <c r="E49" s="45"/>
      <c r="F49" s="37"/>
      <c r="G49" s="37"/>
      <c r="H49" s="37"/>
      <c r="I49" s="37"/>
      <c r="J49" s="37"/>
      <c r="K49" s="37"/>
      <c r="L49" s="37"/>
      <c r="M49" s="37"/>
      <c r="N49" s="20"/>
    </row>
    <row r="50" spans="1:14" ht="14.1">
      <c r="A50" s="21"/>
      <c r="B50" s="20"/>
      <c r="C50" s="30"/>
      <c r="D50" s="20"/>
      <c r="E50" s="6"/>
      <c r="F50" s="7"/>
      <c r="G50" s="7"/>
      <c r="H50" s="7"/>
      <c r="I50" s="7"/>
      <c r="J50" s="7"/>
      <c r="K50" s="7"/>
      <c r="L50" s="7"/>
      <c r="M50" s="7"/>
      <c r="N50" s="8"/>
    </row>
    <row r="51" spans="1:14" ht="14.1">
      <c r="A51" s="56"/>
      <c r="B51" s="20"/>
      <c r="C51" s="57"/>
      <c r="D51" s="20"/>
      <c r="E51" s="6"/>
      <c r="F51" s="7"/>
      <c r="G51" s="7"/>
      <c r="H51" s="7"/>
      <c r="I51" s="7"/>
      <c r="J51" s="7"/>
      <c r="K51" s="7"/>
      <c r="L51" s="7"/>
      <c r="M51" s="7"/>
      <c r="N51" s="8"/>
    </row>
    <row r="52" spans="1:14" ht="14.1">
      <c r="A52" s="23"/>
      <c r="B52" s="20"/>
      <c r="C52" s="22"/>
      <c r="D52" s="20"/>
      <c r="E52" s="6"/>
      <c r="F52" s="7"/>
      <c r="G52" s="7"/>
      <c r="H52" s="7"/>
      <c r="I52" s="7"/>
      <c r="J52" s="7"/>
      <c r="K52" s="7"/>
      <c r="L52" s="7"/>
      <c r="M52" s="7"/>
      <c r="N52" s="8"/>
    </row>
    <row r="53" spans="1:14" ht="14.1">
      <c r="A53" s="25"/>
      <c r="B53" s="20"/>
      <c r="C53" s="31"/>
      <c r="D53" s="24"/>
      <c r="E53" s="32" t="s">
        <v>23</v>
      </c>
      <c r="F53" s="33"/>
      <c r="G53" s="33"/>
      <c r="H53" s="33"/>
      <c r="I53" s="34" t="str">
        <f>HYPERLINK("https://www.vertex42.com/calendars/academic-calendar.html","https://www.vertex42.com/calendars/academic-calendar.html")</f>
        <v>https://www.vertex42.com/calendars/academic-calendar.html</v>
      </c>
      <c r="J53" s="33"/>
      <c r="K53" s="33"/>
      <c r="L53" s="33"/>
      <c r="M53" s="33"/>
      <c r="N53" s="24"/>
    </row>
  </sheetData>
  <mergeCells count="284">
    <mergeCell ref="A51:B51"/>
    <mergeCell ref="A52:B52"/>
    <mergeCell ref="C52:D52"/>
    <mergeCell ref="A53:B53"/>
    <mergeCell ref="C53:D53"/>
    <mergeCell ref="E53:H53"/>
    <mergeCell ref="I53:N53"/>
    <mergeCell ref="A48:B48"/>
    <mergeCell ref="A49:B49"/>
    <mergeCell ref="C49:D49"/>
    <mergeCell ref="E49:N49"/>
    <mergeCell ref="A50:B50"/>
    <mergeCell ref="C50:D50"/>
    <mergeCell ref="C51:D51"/>
    <mergeCell ref="A43:B43"/>
    <mergeCell ref="C43:D43"/>
    <mergeCell ref="E43:F43"/>
    <mergeCell ref="G43:H43"/>
    <mergeCell ref="I43:J43"/>
    <mergeCell ref="K43:L43"/>
    <mergeCell ref="M43:N43"/>
    <mergeCell ref="A44:B44"/>
    <mergeCell ref="C44:D44"/>
    <mergeCell ref="E44:F44"/>
    <mergeCell ref="G44:H44"/>
    <mergeCell ref="I44:J44"/>
    <mergeCell ref="K44:L44"/>
    <mergeCell ref="M44:N44"/>
    <mergeCell ref="K41:L41"/>
    <mergeCell ref="M41:N41"/>
    <mergeCell ref="A42:B42"/>
    <mergeCell ref="C42:D42"/>
    <mergeCell ref="E42:F42"/>
    <mergeCell ref="G42:H42"/>
    <mergeCell ref="I42:J42"/>
    <mergeCell ref="K42:L42"/>
    <mergeCell ref="M42:N42"/>
    <mergeCell ref="A47:B47"/>
    <mergeCell ref="C47:D47"/>
    <mergeCell ref="E47:N47"/>
    <mergeCell ref="C48:D48"/>
    <mergeCell ref="E48:N48"/>
    <mergeCell ref="A39:B39"/>
    <mergeCell ref="C39:D39"/>
    <mergeCell ref="E39:F39"/>
    <mergeCell ref="G39:H39"/>
    <mergeCell ref="I39:J39"/>
    <mergeCell ref="K39:L39"/>
    <mergeCell ref="M39:N39"/>
    <mergeCell ref="A40:B40"/>
    <mergeCell ref="C40:D40"/>
    <mergeCell ref="E40:F40"/>
    <mergeCell ref="G40:H40"/>
    <mergeCell ref="I40:J40"/>
    <mergeCell ref="K40:L40"/>
    <mergeCell ref="M40:N40"/>
    <mergeCell ref="A41:B41"/>
    <mergeCell ref="C41:D41"/>
    <mergeCell ref="E41:F41"/>
    <mergeCell ref="G41:H41"/>
    <mergeCell ref="I41:J41"/>
    <mergeCell ref="A45:B45"/>
    <mergeCell ref="C45:D45"/>
    <mergeCell ref="E45:F45"/>
    <mergeCell ref="G45:H45"/>
    <mergeCell ref="I45:J45"/>
    <mergeCell ref="K45:L45"/>
    <mergeCell ref="M45:N45"/>
    <mergeCell ref="E46:F46"/>
    <mergeCell ref="G46:N46"/>
    <mergeCell ref="A36:B36"/>
    <mergeCell ref="C36:D36"/>
    <mergeCell ref="E36:F36"/>
    <mergeCell ref="G36:H36"/>
    <mergeCell ref="I36:J36"/>
    <mergeCell ref="K36:L36"/>
    <mergeCell ref="M36:N36"/>
    <mergeCell ref="A37:B37"/>
    <mergeCell ref="C37:D37"/>
    <mergeCell ref="E37:F37"/>
    <mergeCell ref="G37:H37"/>
    <mergeCell ref="I37:J37"/>
    <mergeCell ref="K37:L37"/>
    <mergeCell ref="M37:N37"/>
    <mergeCell ref="A34:B34"/>
    <mergeCell ref="C34:D34"/>
    <mergeCell ref="E34:F34"/>
    <mergeCell ref="G34:H34"/>
    <mergeCell ref="I34:J34"/>
    <mergeCell ref="K34:L34"/>
    <mergeCell ref="M34:N34"/>
    <mergeCell ref="A35:B35"/>
    <mergeCell ref="C35:D35"/>
    <mergeCell ref="E35:F35"/>
    <mergeCell ref="G35:H35"/>
    <mergeCell ref="I35:J35"/>
    <mergeCell ref="K35:L35"/>
    <mergeCell ref="M35:N35"/>
    <mergeCell ref="A32:B32"/>
    <mergeCell ref="C32:D32"/>
    <mergeCell ref="E32:F32"/>
    <mergeCell ref="G32:H32"/>
    <mergeCell ref="I32:J32"/>
    <mergeCell ref="K32:L32"/>
    <mergeCell ref="M32:N32"/>
    <mergeCell ref="A33:B33"/>
    <mergeCell ref="C33:D33"/>
    <mergeCell ref="E33:F33"/>
    <mergeCell ref="G33:H33"/>
    <mergeCell ref="I33:J33"/>
    <mergeCell ref="K33:L33"/>
    <mergeCell ref="M33:N33"/>
    <mergeCell ref="A29:B29"/>
    <mergeCell ref="C29:D29"/>
    <mergeCell ref="E29:F29"/>
    <mergeCell ref="G29:H29"/>
    <mergeCell ref="I29:J29"/>
    <mergeCell ref="K29:L29"/>
    <mergeCell ref="M29:N29"/>
    <mergeCell ref="A31:B31"/>
    <mergeCell ref="C31:D31"/>
    <mergeCell ref="E31:F31"/>
    <mergeCell ref="G31:H31"/>
    <mergeCell ref="I31:J31"/>
    <mergeCell ref="K31:L31"/>
    <mergeCell ref="M31:N31"/>
    <mergeCell ref="A27:B27"/>
    <mergeCell ref="C27:D27"/>
    <mergeCell ref="E27:F27"/>
    <mergeCell ref="G27:H27"/>
    <mergeCell ref="I27:J27"/>
    <mergeCell ref="K27:L27"/>
    <mergeCell ref="M27:N27"/>
    <mergeCell ref="A28:B28"/>
    <mergeCell ref="C28:D28"/>
    <mergeCell ref="E28:F28"/>
    <mergeCell ref="G28:H28"/>
    <mergeCell ref="I28:J28"/>
    <mergeCell ref="K28:L28"/>
    <mergeCell ref="M28:N28"/>
    <mergeCell ref="A25:B25"/>
    <mergeCell ref="C25:D25"/>
    <mergeCell ref="E25:F25"/>
    <mergeCell ref="G25:H25"/>
    <mergeCell ref="I25:J25"/>
    <mergeCell ref="K25:L25"/>
    <mergeCell ref="M25:N25"/>
    <mergeCell ref="A26:B26"/>
    <mergeCell ref="C26:D26"/>
    <mergeCell ref="E26:F26"/>
    <mergeCell ref="G26:H26"/>
    <mergeCell ref="I26:J26"/>
    <mergeCell ref="K26:L26"/>
    <mergeCell ref="M26:N26"/>
    <mergeCell ref="A23:B23"/>
    <mergeCell ref="C23:D23"/>
    <mergeCell ref="E23:F23"/>
    <mergeCell ref="G23:H23"/>
    <mergeCell ref="I23:J23"/>
    <mergeCell ref="K23:L23"/>
    <mergeCell ref="M23:N23"/>
    <mergeCell ref="A24:B24"/>
    <mergeCell ref="C24:D24"/>
    <mergeCell ref="E24:F24"/>
    <mergeCell ref="G24:H24"/>
    <mergeCell ref="I24:J24"/>
    <mergeCell ref="K24:L24"/>
    <mergeCell ref="M24:N24"/>
    <mergeCell ref="A20:B20"/>
    <mergeCell ref="C20:D20"/>
    <mergeCell ref="E20:F20"/>
    <mergeCell ref="G20:H20"/>
    <mergeCell ref="I20:J20"/>
    <mergeCell ref="K20:L20"/>
    <mergeCell ref="M20:N20"/>
    <mergeCell ref="A21:B21"/>
    <mergeCell ref="C21:D21"/>
    <mergeCell ref="E21:F21"/>
    <mergeCell ref="G21:H21"/>
    <mergeCell ref="I21:J21"/>
    <mergeCell ref="K21:L21"/>
    <mergeCell ref="M21:N21"/>
    <mergeCell ref="A18:B18"/>
    <mergeCell ref="C18:D18"/>
    <mergeCell ref="E18:F18"/>
    <mergeCell ref="G18:H18"/>
    <mergeCell ref="I18:J18"/>
    <mergeCell ref="K18:L18"/>
    <mergeCell ref="M18:N18"/>
    <mergeCell ref="A19:B19"/>
    <mergeCell ref="C19:D19"/>
    <mergeCell ref="E19:F19"/>
    <mergeCell ref="G19:H19"/>
    <mergeCell ref="I19:J19"/>
    <mergeCell ref="K19:L19"/>
    <mergeCell ref="M19:N19"/>
    <mergeCell ref="A16:B16"/>
    <mergeCell ref="C16:D16"/>
    <mergeCell ref="E16:F16"/>
    <mergeCell ref="G16:H16"/>
    <mergeCell ref="I16:J16"/>
    <mergeCell ref="K16:L16"/>
    <mergeCell ref="M16:N16"/>
    <mergeCell ref="A17:B17"/>
    <mergeCell ref="C17:D17"/>
    <mergeCell ref="E17:F17"/>
    <mergeCell ref="G17:H17"/>
    <mergeCell ref="I17:J17"/>
    <mergeCell ref="K17:L17"/>
    <mergeCell ref="M17:N17"/>
    <mergeCell ref="A13:B13"/>
    <mergeCell ref="C13:D13"/>
    <mergeCell ref="E13:F13"/>
    <mergeCell ref="G13:H13"/>
    <mergeCell ref="I13:J13"/>
    <mergeCell ref="K13:L13"/>
    <mergeCell ref="M13:N13"/>
    <mergeCell ref="A15:B15"/>
    <mergeCell ref="C15:D15"/>
    <mergeCell ref="E15:F15"/>
    <mergeCell ref="G15:H15"/>
    <mergeCell ref="I15:J15"/>
    <mergeCell ref="K15:L15"/>
    <mergeCell ref="M15:N15"/>
    <mergeCell ref="K3:L3"/>
    <mergeCell ref="A7:B7"/>
    <mergeCell ref="C7:D7"/>
    <mergeCell ref="E7:F7"/>
    <mergeCell ref="G7:H7"/>
    <mergeCell ref="I7:J7"/>
    <mergeCell ref="K7:L7"/>
    <mergeCell ref="M7:N7"/>
    <mergeCell ref="A8:B8"/>
    <mergeCell ref="C8:D8"/>
    <mergeCell ref="E8:F8"/>
    <mergeCell ref="G8:H8"/>
    <mergeCell ref="I8:J8"/>
    <mergeCell ref="K8:L8"/>
    <mergeCell ref="M8:N8"/>
    <mergeCell ref="A1:B1"/>
    <mergeCell ref="K1:N1"/>
    <mergeCell ref="A2:N2"/>
    <mergeCell ref="A3:B3"/>
    <mergeCell ref="C3:D3"/>
    <mergeCell ref="E3:F3"/>
    <mergeCell ref="G3:H3"/>
    <mergeCell ref="A11:B11"/>
    <mergeCell ref="C11:D11"/>
    <mergeCell ref="E11:F11"/>
    <mergeCell ref="G11:H11"/>
    <mergeCell ref="I11:J11"/>
    <mergeCell ref="K11:L11"/>
    <mergeCell ref="M11:N11"/>
    <mergeCell ref="K5:L5"/>
    <mergeCell ref="M5:N5"/>
    <mergeCell ref="M3:N3"/>
    <mergeCell ref="A4:N4"/>
    <mergeCell ref="A5:B5"/>
    <mergeCell ref="C5:D5"/>
    <mergeCell ref="E5:F5"/>
    <mergeCell ref="G5:H5"/>
    <mergeCell ref="I5:J5"/>
    <mergeCell ref="I3:J3"/>
    <mergeCell ref="A12:B12"/>
    <mergeCell ref="C12:D12"/>
    <mergeCell ref="E12:F12"/>
    <mergeCell ref="G12:H12"/>
    <mergeCell ref="I12:J12"/>
    <mergeCell ref="K12:L12"/>
    <mergeCell ref="M12:N12"/>
    <mergeCell ref="A9:B9"/>
    <mergeCell ref="C9:D9"/>
    <mergeCell ref="E9:F9"/>
    <mergeCell ref="G9:H9"/>
    <mergeCell ref="I9:J9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</mergeCells>
  <printOptions horizontalCentered="1" gridLines="1"/>
  <pageMargins left="0.25" right="0.25" top="0.5" bottom="0.5" header="0" footer="0"/>
  <pageSetup pageOrder="overThenDown" orientation="landscape" cellComments="atEnd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C8A7AEA033314B9368ED8F957BB9D7" ma:contentTypeVersion="18" ma:contentTypeDescription="Create a new document." ma:contentTypeScope="" ma:versionID="5832d4a093bf42978ebade69d0d763a5">
  <xsd:schema xmlns:xsd="http://www.w3.org/2001/XMLSchema" xmlns:xs="http://www.w3.org/2001/XMLSchema" xmlns:p="http://schemas.microsoft.com/office/2006/metadata/properties" xmlns:ns2="fad15c3f-a737-405c-90cc-da50b0e1fcb6" xmlns:ns3="5fd13d82-2328-43d5-8f39-1b24d7fd03f3" targetNamespace="http://schemas.microsoft.com/office/2006/metadata/properties" ma:root="true" ma:fieldsID="6b69b063e4a685979846d4d27ac87ec4" ns2:_="" ns3:_="">
    <xsd:import namespace="fad15c3f-a737-405c-90cc-da50b0e1fcb6"/>
    <xsd:import namespace="5fd13d82-2328-43d5-8f39-1b24d7fd03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DateTaken" minOccurs="0"/>
                <xsd:element ref="ns2:MediaServiceBillingMetadata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d15c3f-a737-405c-90cc-da50b0e1fc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d9aeee01-be69-4027-8c27-9c43c59eb8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d13d82-2328-43d5-8f39-1b24d7fd03f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4ba3bdd2-6c3e-4be9-b600-a32644ce0a9f}" ma:internalName="TaxCatchAll" ma:showField="CatchAllData" ma:web="5fd13d82-2328-43d5-8f39-1b24d7fd03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fd13d82-2328-43d5-8f39-1b24d7fd03f3">
      <UserInfo>
        <DisplayName>Chandler, Erika</DisplayName>
        <AccountId>76</AccountId>
        <AccountType/>
      </UserInfo>
      <UserInfo>
        <DisplayName>Barton, Christopher</DisplayName>
        <AccountId>6</AccountId>
        <AccountType/>
      </UserInfo>
      <UserInfo>
        <DisplayName>Jecker, Heather</DisplayName>
        <AccountId>27</AccountId>
        <AccountType/>
      </UserInfo>
      <UserInfo>
        <DisplayName>Rogers, Amanda</DisplayName>
        <AccountId>43</AccountId>
        <AccountType/>
      </UserInfo>
    </SharedWithUsers>
    <TaxCatchAll xmlns="5fd13d82-2328-43d5-8f39-1b24d7fd03f3" xsi:nil="true"/>
    <lcf76f155ced4ddcb4097134ff3c332f xmlns="fad15c3f-a737-405c-90cc-da50b0e1fcb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288A54-A7EA-4046-B061-9253EE3D3F31}"/>
</file>

<file path=customXml/itemProps2.xml><?xml version="1.0" encoding="utf-8"?>
<ds:datastoreItem xmlns:ds="http://schemas.openxmlformats.org/officeDocument/2006/customXml" ds:itemID="{CDB832EB-D7B6-4F68-AE45-620DF6EB6DD7}"/>
</file>

<file path=customXml/itemProps3.xml><?xml version="1.0" encoding="utf-8"?>
<ds:datastoreItem xmlns:ds="http://schemas.openxmlformats.org/officeDocument/2006/customXml" ds:itemID="{E0ED37F0-2C08-436C-920B-1A16266AF4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Ocean, Tess</dc:creator>
  <cp:keywords/>
  <dc:description/>
  <cp:lastModifiedBy>Jecker, Heather</cp:lastModifiedBy>
  <cp:revision/>
  <dcterms:created xsi:type="dcterms:W3CDTF">2023-02-10T19:04:00Z</dcterms:created>
  <dcterms:modified xsi:type="dcterms:W3CDTF">2026-06-08T14:09:22Z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0x01010005C8A7AEA033314B9368ED8F957BB9D7</vt:lpwstr>
  </property>
  <property fmtid="{D5CDD505-2E9C-101B-9397-08002B2CF9AE}" pid="3" name="MediaServiceImageTags">
    <vt:lpwstr/>
  </property>
</Properties>
</file>