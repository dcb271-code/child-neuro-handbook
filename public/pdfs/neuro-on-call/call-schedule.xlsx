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5-2026/"/>
    </mc:Choice>
  </mc:AlternateContent>
  <xr:revisionPtr revIDLastSave="572" documentId="8_{D4461F81-B550-4C24-BA23-5844A4CAB1C2}" xr6:coauthVersionLast="47" xr6:coauthVersionMax="47" xr10:uidLastSave="{377F30C5-C31D-4B26-A78A-5DAE9F7E9D0A}"/>
  <bookViews>
    <workbookView xWindow="-110" yWindow="-110" windowWidth="23260" windowHeight="14860" firstSheet="24" activeTab="24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5" sheetId="24" r:id="rId13"/>
    <sheet name="July 2025" sheetId="25" r:id="rId14"/>
    <sheet name="August 2025" sheetId="26" r:id="rId15"/>
    <sheet name="September 2025" sheetId="27" r:id="rId16"/>
    <sheet name="October 2025" sheetId="28" r:id="rId17"/>
    <sheet name="November 2025" sheetId="29" r:id="rId18"/>
    <sheet name="December 2025" sheetId="30" r:id="rId19"/>
    <sheet name="January 2026" sheetId="31" r:id="rId20"/>
    <sheet name="February 2026" sheetId="32" r:id="rId21"/>
    <sheet name="March 2026" sheetId="33" r:id="rId22"/>
    <sheet name="April 2026" sheetId="34" r:id="rId23"/>
    <sheet name="May 2026" sheetId="35" r:id="rId24"/>
    <sheet name="June 2026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6" l="1"/>
  <c r="A6" i="36" s="1"/>
  <c r="C6" i="36" s="1"/>
  <c r="E6" i="36" s="1"/>
  <c r="G6" i="36" s="1"/>
  <c r="I6" i="36" s="1"/>
  <c r="K6" i="36" s="1"/>
  <c r="M6" i="36" s="1"/>
  <c r="A15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C15" i="36" l="1"/>
  <c r="A5" i="36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E15" i="36" l="1"/>
  <c r="C5" i="36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G15" i="36" l="1"/>
  <c r="E5" i="36"/>
  <c r="G15" i="35"/>
  <c r="E5" i="35"/>
  <c r="G15" i="34"/>
  <c r="E5" i="34"/>
  <c r="G15" i="33"/>
  <c r="E5" i="33"/>
  <c r="G15" i="32"/>
  <c r="E5" i="32"/>
  <c r="C15" i="31"/>
  <c r="A5" i="31"/>
  <c r="C5" i="30"/>
  <c r="E15" i="30"/>
  <c r="I15" i="36" l="1"/>
  <c r="G5" i="36"/>
  <c r="I15" i="35"/>
  <c r="G5" i="35"/>
  <c r="I15" i="34"/>
  <c r="G5" i="34"/>
  <c r="I15" i="33"/>
  <c r="G5" i="33"/>
  <c r="I15" i="32"/>
  <c r="G5" i="32"/>
  <c r="E15" i="31"/>
  <c r="C5" i="31"/>
  <c r="E5" i="30"/>
  <c r="G15" i="30"/>
  <c r="K15" i="36" l="1"/>
  <c r="I5" i="36"/>
  <c r="I5" i="35"/>
  <c r="K15" i="35"/>
  <c r="K15" i="34"/>
  <c r="I5" i="34"/>
  <c r="K15" i="33"/>
  <c r="I5" i="33"/>
  <c r="K15" i="32"/>
  <c r="I5" i="32"/>
  <c r="G15" i="31"/>
  <c r="E5" i="31"/>
  <c r="I15" i="30"/>
  <c r="G5" i="30"/>
  <c r="M15" i="36" l="1"/>
  <c r="K5" i="36"/>
  <c r="K5" i="35"/>
  <c r="M15" i="35"/>
  <c r="M15" i="34"/>
  <c r="K5" i="34"/>
  <c r="M15" i="33"/>
  <c r="K5" i="33"/>
  <c r="M15" i="32"/>
  <c r="K5" i="32"/>
  <c r="I15" i="31"/>
  <c r="G5" i="31"/>
  <c r="K15" i="30"/>
  <c r="I5" i="30"/>
  <c r="A24" i="36" l="1"/>
  <c r="C24" i="36" s="1"/>
  <c r="E24" i="36" s="1"/>
  <c r="G24" i="36" s="1"/>
  <c r="I24" i="36" s="1"/>
  <c r="K24" i="36" s="1"/>
  <c r="M24" i="36" s="1"/>
  <c r="A33" i="36" s="1"/>
  <c r="C33" i="36" s="1"/>
  <c r="E33" i="36" s="1"/>
  <c r="G33" i="36" s="1"/>
  <c r="I33" i="36" s="1"/>
  <c r="K33" i="36" s="1"/>
  <c r="M33" i="36" s="1"/>
  <c r="A42" i="36" s="1"/>
  <c r="C42" i="36" s="1"/>
  <c r="M5" i="36"/>
  <c r="A24" i="35"/>
  <c r="C24" i="35" s="1"/>
  <c r="E24" i="35" s="1"/>
  <c r="G24" i="35" s="1"/>
  <c r="I24" i="35" s="1"/>
  <c r="K24" i="35" s="1"/>
  <c r="M24" i="35" s="1"/>
  <c r="A33" i="35" s="1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A6" i="27" s="1"/>
  <c r="C6" i="27" s="1"/>
  <c r="E6" i="27" s="1"/>
  <c r="G6" i="27" s="1"/>
  <c r="I6" i="27" s="1"/>
  <c r="K6" i="27" s="1"/>
  <c r="M6" i="27" s="1"/>
  <c r="A1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A5" i="27"/>
  <c r="C15" i="27"/>
  <c r="A4" i="27"/>
  <c r="C15" i="26"/>
  <c r="A5" i="26"/>
  <c r="A4" i="26"/>
  <c r="I53" i="45"/>
  <c r="A1" i="45"/>
  <c r="A6" i="45" s="1"/>
  <c r="C6" i="45" s="1"/>
  <c r="E6" i="45"/>
  <c r="G6" i="45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A6" i="41"/>
  <c r="C6" i="41" s="1"/>
  <c r="E6" i="41" s="1"/>
  <c r="G6" i="41"/>
  <c r="I6" i="41"/>
  <c r="K6" i="41"/>
  <c r="M6" i="41" s="1"/>
  <c r="A1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4" i="37"/>
  <c r="I58" i="25"/>
  <c r="A1" i="25"/>
  <c r="A6" i="25"/>
  <c r="C6" i="25" s="1"/>
  <c r="E6" i="25" s="1"/>
  <c r="G6" i="25" s="1"/>
  <c r="I6" i="25"/>
  <c r="K6" i="25" s="1"/>
  <c r="M6" i="25" s="1"/>
  <c r="A15" i="25" s="1"/>
  <c r="I58" i="24"/>
  <c r="A1" i="24"/>
  <c r="I53" i="12"/>
  <c r="A1" i="12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9"/>
  <c r="C6" i="9"/>
  <c r="E6" i="9" s="1"/>
  <c r="G6" i="9" s="1"/>
  <c r="I6" i="9" s="1"/>
  <c r="K6" i="9" s="1"/>
  <c r="M6" i="9" s="1"/>
  <c r="A14" i="9" s="1"/>
  <c r="A46" i="9"/>
  <c r="C46" i="9" s="1"/>
  <c r="A6" i="37"/>
  <c r="C6" i="37" s="1"/>
  <c r="E6" i="37" s="1"/>
  <c r="G6" i="37" s="1"/>
  <c r="I6" i="37" s="1"/>
  <c r="K6" i="37" s="1"/>
  <c r="M6" i="37" s="1"/>
  <c r="A14" i="37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12"/>
  <c r="A6" i="12"/>
  <c r="C6" i="12"/>
  <c r="E6" i="12" s="1"/>
  <c r="G6" i="12" s="1"/>
  <c r="I6" i="12" s="1"/>
  <c r="K6" i="12" s="1"/>
  <c r="M6" i="12" s="1"/>
  <c r="A14" i="12" s="1"/>
  <c r="A5" i="43"/>
  <c r="C14" i="43"/>
  <c r="A4" i="2"/>
  <c r="A4" i="44"/>
  <c r="A4" i="43"/>
  <c r="A4" i="42"/>
  <c r="C14" i="8" l="1"/>
  <c r="A5" i="8"/>
  <c r="A5" i="7"/>
  <c r="C14" i="7"/>
  <c r="C14" i="1"/>
  <c r="A4" i="24"/>
  <c r="A6" i="24"/>
  <c r="C6" i="24" s="1"/>
  <c r="E6" i="24" s="1"/>
  <c r="G6" i="24" s="1"/>
  <c r="I6" i="24" s="1"/>
  <c r="K6" i="24" s="1"/>
  <c r="M6" i="24" s="1"/>
  <c r="A15" i="24" s="1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E42" i="24" s="1"/>
  <c r="G42" i="24" s="1"/>
  <c r="I42" i="24" s="1"/>
  <c r="K42" i="24" s="1"/>
  <c r="M42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C5" i="27"/>
  <c r="E15" i="27"/>
  <c r="E15" i="26"/>
  <c r="C5" i="26"/>
  <c r="A5" i="37"/>
  <c r="C14" i="37"/>
  <c r="C14" i="9"/>
  <c r="A5" i="9"/>
  <c r="C14" i="40"/>
  <c r="A5" i="40"/>
  <c r="C14" i="11"/>
  <c r="A5" i="11"/>
  <c r="A5" i="41"/>
  <c r="C14" i="41"/>
  <c r="E14" i="7"/>
  <c r="C5" i="7"/>
  <c r="E14" i="1"/>
  <c r="C5" i="1"/>
  <c r="A5" i="45"/>
  <c r="C14" i="45"/>
  <c r="C14" i="4"/>
  <c r="A5" i="4"/>
  <c r="C14" i="44"/>
  <c r="A5" i="12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K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K14" i="10" l="1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M5" i="27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A51" i="24"/>
  <c r="C51" i="24" s="1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<sst xmlns="http://schemas.openxmlformats.org/spreadsheetml/2006/main" count="6827" uniqueCount="344">
  <si>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</si>
  <si>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</si>
  <si>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</si>
  <si>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</si>
  <si>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</si>
  <si>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</si>
  <si>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</si>
  <si>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</si>
  <si>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</si>
  <si>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</si>
  <si>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</si>
  <si>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</si>
  <si>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</si>
  <si>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</si>
  <si>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</si>
  <si>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</si>
  <si>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</si>
  <si>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</si>
  <si>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</si>
  <si>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</si>
  <si>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</si>
  <si>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</si>
  <si>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</si>
  <si>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</si>
  <si>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</si>
  <si>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</si>
  <si>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</si>
  <si>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</si>
  <si>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</si>
  <si>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</si>
  <si>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</si>
  <si>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</si>
  <si>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</si>
  <si>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</si>
  <si>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</si>
  <si>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</si>
  <si>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</si>
  <si>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</si>
  <si>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</si>
  <si>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</si>
  <si>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</si>
  <si>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</si>
  <si>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</si>
  <si>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</si>
  <si>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</si>
  <si>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</si>
  <si>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</si>
  <si>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</si>
  <si>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</si>
  <si>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</si>
  <si>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</si>
  <si>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</si>
  <si>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</si>
  <si>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</si>
  <si>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</si>
  <si>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</si>
  <si>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</si>
  <si>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</si>
  <si>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</si>
  <si>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</si>
  <si>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</si>
  <si>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</si>
  <si>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</si>
  <si>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</si>
  <si>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</si>
  <si>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</si>
  <si>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</si>
  <si>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</si>
  <si>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</si>
  <si>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</si>
  <si>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</si>
  <si>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</si>
  <si>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</si>
  <si>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</si>
  <si>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</si>
  <si>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</si>
  <si>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</si>
  <si>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</si>
  <si>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</si>
  <si>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</si>
  <si>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</si>
  <si>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</si>
  <si>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</si>
  <si>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</si>
  <si>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</si>
  <si>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</si>
  <si>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</si>
  <si>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</si>
  <si>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</si>
  <si>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</si>
  <si>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</si>
  <si>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</si>
  <si>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</si>
  <si>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</si>
  <si>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</si>
  <si>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</si>
  <si>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</si>
  <si>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</si>
  <si>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</si>
  <si>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</si>
  <si>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</si>
  <si>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</si>
  <si>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</si>
  <si>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</si>
  <si>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</si>
  <si>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</si>
  <si>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</si>
  <si>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</si>
  <si>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</si>
  <si>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</si>
  <si>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</si>
  <si>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</si>
  <si>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</si>
  <si>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</si>
  <si>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</si>
  <si>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</si>
  <si>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</si>
  <si>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</si>
  <si>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</si>
  <si>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</si>
  <si>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</si>
  <si>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</si>
  <si>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</si>
  <si>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</si>
  <si>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</si>
  <si>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</si>
  <si>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</si>
  <si>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</si>
  <si>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</si>
  <si>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</si>
  <si>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</si>
  <si>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</si>
  <si>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</si>
  <si>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</si>
  <si>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</si>
  <si>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</si>
  <si>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</si>
  <si>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</si>
  <si>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</si>
  <si>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</si>
  <si>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</si>
  <si>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</si>
  <si>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</si>
  <si>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</si>
  <si>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</si>
  <si>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</si>
  <si>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</si>
  <si>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</si>
  <si>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</si>
  <si>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</si>
  <si>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</si>
  <si>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</si>
  <si>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</si>
  <si>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</si>
  <si>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</si>
  <si>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</si>
  <si>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</si>
  <si>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</si>
  <si>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</si>
  <si>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</si>
  <si>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</si>
  <si>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</si>
  <si>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</si>
  <si>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</si>
  <si>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</si>
  <si>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</si>
  <si>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</si>
  <si>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</si>
  <si>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</si>
  <si>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</si>
  <si>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</si>
  <si>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</si>
  <si>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</si>
  <si>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</si>
  <si>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</si>
  <si>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Gallivan</t>
  </si>
  <si>
    <t>Doll</t>
  </si>
  <si>
    <t>Puri</t>
  </si>
  <si>
    <t>Sah</t>
  </si>
  <si>
    <t xml:space="preserve">Jain </t>
  </si>
  <si>
    <t>Karakas</t>
  </si>
  <si>
    <t>Clements</t>
  </si>
  <si>
    <t>McCoy</t>
  </si>
  <si>
    <t>Ritchie</t>
  </si>
  <si>
    <t>Gupta</t>
  </si>
  <si>
    <t>Bathala</t>
  </si>
  <si>
    <t>Chandler</t>
  </si>
  <si>
    <t>Marshall</t>
  </si>
  <si>
    <t>Jain</t>
  </si>
  <si>
    <t xml:space="preserve">Sah </t>
  </si>
  <si>
    <t>Rogers</t>
  </si>
  <si>
    <t>Farber</t>
  </si>
  <si>
    <t>Brock</t>
  </si>
  <si>
    <t>Gentry</t>
  </si>
  <si>
    <t>Gentry/Gallivan</t>
  </si>
  <si>
    <t>Barton</t>
  </si>
  <si>
    <t>Shoup</t>
  </si>
  <si>
    <t xml:space="preserve">Gentry </t>
  </si>
  <si>
    <t>4th of July</t>
  </si>
  <si>
    <t>Singer</t>
  </si>
  <si>
    <t>Karia</t>
  </si>
  <si>
    <t>Danieli</t>
  </si>
  <si>
    <t>Lichtefeld</t>
  </si>
  <si>
    <t>Ravishankar</t>
  </si>
  <si>
    <t>Patel</t>
  </si>
  <si>
    <t>Bathala/Ravishankar</t>
  </si>
  <si>
    <t>Means/Rogers(5p-7a)</t>
  </si>
  <si>
    <t>Means</t>
  </si>
  <si>
    <t>Sweeney</t>
  </si>
  <si>
    <t>Barnes</t>
  </si>
  <si>
    <t>Ritchie/Lichtefeld</t>
  </si>
  <si>
    <t xml:space="preserve">Patel </t>
  </si>
  <si>
    <t>Bathala/Danieli</t>
  </si>
  <si>
    <t>Ritchie/Patel</t>
  </si>
  <si>
    <t>Pies</t>
  </si>
  <si>
    <t>Bathala/Pies</t>
  </si>
  <si>
    <t>Labor Day</t>
  </si>
  <si>
    <t>Doll / Rogers @ 5pm</t>
  </si>
  <si>
    <t>Chandler(AM)/Barton(PM)</t>
  </si>
  <si>
    <t>Ray</t>
  </si>
  <si>
    <t>Barton/Brock 5p</t>
  </si>
  <si>
    <t xml:space="preserve">Brock </t>
  </si>
  <si>
    <t>Golpalkrishnan</t>
  </si>
  <si>
    <t>Patel/Golpalkrishnan</t>
  </si>
  <si>
    <t>Ritchie/Gentry</t>
  </si>
  <si>
    <t>Barnes/Karia(5p)</t>
  </si>
  <si>
    <t>Bathala/Gentry</t>
  </si>
  <si>
    <t>Karia/Barnes(5p)</t>
  </si>
  <si>
    <t>Sah/Karia(5p)</t>
  </si>
  <si>
    <t>Danieli/Patel 5p to 7a</t>
  </si>
  <si>
    <t>Puri - Doll 4:30-10:30</t>
  </si>
  <si>
    <t>Karia/Sah(5pm)</t>
  </si>
  <si>
    <t>Neofidov</t>
  </si>
  <si>
    <t>Patel/Neofidov</t>
  </si>
  <si>
    <t>Danieli/Neofidov</t>
  </si>
  <si>
    <t>Thanksgiving</t>
  </si>
  <si>
    <t>Brock/Barton 5p</t>
  </si>
  <si>
    <t>Neofidiv</t>
  </si>
  <si>
    <t>Ritchie/Pies</t>
  </si>
  <si>
    <t>Leichtefeld/Pies</t>
  </si>
  <si>
    <t>Lambert-Cheatham</t>
  </si>
  <si>
    <t>Patel/Lambert-Cheatham</t>
  </si>
  <si>
    <t>Christmas</t>
  </si>
  <si>
    <t>Patel/Pies(Days)</t>
  </si>
  <si>
    <t>Bathala/Pies(Days)</t>
  </si>
  <si>
    <t>Ravishankar/Pies(Days)</t>
  </si>
  <si>
    <t>New Years</t>
  </si>
  <si>
    <t>Danieli(AM)/Lichtefeld(PM)</t>
  </si>
  <si>
    <t>Lechtefeld/Lambert-Cheatham</t>
  </si>
  <si>
    <t>MLK</t>
  </si>
  <si>
    <t>Marshall/Barton5P</t>
  </si>
  <si>
    <t>Raishankar</t>
  </si>
  <si>
    <t>Roddy</t>
  </si>
  <si>
    <t>Patel/Roddy</t>
  </si>
  <si>
    <t>Marshall/Barton5pm</t>
  </si>
  <si>
    <t xml:space="preserve">Barton/Ray 5pm </t>
  </si>
  <si>
    <t xml:space="preserve">Ray </t>
  </si>
  <si>
    <t>Patel (until 5p)/Danieli</t>
  </si>
  <si>
    <t>Danieli/Horn-Barbosa</t>
  </si>
  <si>
    <t>Ray/Marshall 5p</t>
  </si>
  <si>
    <t>Horn-Barbosa</t>
  </si>
  <si>
    <t>Ravishankar/Roddy</t>
  </si>
  <si>
    <t>Lichtefeld(until 5p)/Danieli</t>
  </si>
  <si>
    <t>Ritchie(until 5p)/Lichtefeld</t>
  </si>
  <si>
    <t>Marashly</t>
  </si>
  <si>
    <t xml:space="preserve">Danieli </t>
  </si>
  <si>
    <t>Johnson</t>
  </si>
  <si>
    <t>Danieli/Johnson</t>
  </si>
  <si>
    <t>Ray/Chandler 5p-7a</t>
  </si>
  <si>
    <t xml:space="preserve">Lichtefeld </t>
  </si>
  <si>
    <t>Benton</t>
  </si>
  <si>
    <t>Lechtefeld</t>
  </si>
  <si>
    <t>Rozena</t>
  </si>
  <si>
    <t>Rozena/Bathala</t>
  </si>
  <si>
    <t>Tison-Brandon</t>
  </si>
  <si>
    <t xml:space="preserve">Benton </t>
  </si>
  <si>
    <t>Marsahly</t>
  </si>
  <si>
    <t>Benton/Ritchie</t>
  </si>
  <si>
    <t>Chandler/Puri(3-5p)</t>
  </si>
  <si>
    <t>Tison-Brandon/Danieli</t>
  </si>
  <si>
    <t>ravishankar</t>
  </si>
  <si>
    <t>Rogers/Marshall 5p</t>
  </si>
  <si>
    <t>Marshall/Rogers 5p</t>
  </si>
  <si>
    <t>Kolsrud</t>
  </si>
  <si>
    <t>MarshallRogers 5p</t>
  </si>
  <si>
    <t>Patel/Koslrud</t>
  </si>
  <si>
    <t>Ritchi</t>
  </si>
  <si>
    <t>Ali</t>
  </si>
  <si>
    <t>Patel/Ali</t>
  </si>
  <si>
    <t>Tison-Brandon/Ali</t>
  </si>
  <si>
    <t xml:space="preserve">Marshall </t>
  </si>
  <si>
    <t>Memorial Day</t>
  </si>
  <si>
    <t>Raichur</t>
  </si>
  <si>
    <t>Lechtefeld/Raichur</t>
  </si>
  <si>
    <t>Hocker</t>
  </si>
  <si>
    <t>Bathala/Hey</t>
  </si>
  <si>
    <t>Ravishankar/Hey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</si>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</sst>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15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0" fillId="0" borderId="0" xfId="0" applyAlignment="1">
      <alignment wrapText="1"/>
    </xf>
    <xf numFmtId="0" fontId="12" fillId="0" borderId="12" xfId="0" applyFont="1" applyBorder="1" applyAlignment="1">
      <alignment horizontal="right" vertical="center" wrapText="1"/>
    </xf>
    <xf numFmtId="0" fontId="5" fillId="0" borderId="12" xfId="0" applyFont="1" applyBorder="1" applyAlignment="1">
      <alignment wrapText="1"/>
    </xf>
    <xf numFmtId="0" fontId="11" fillId="0" borderId="8" xfId="0" applyFont="1" applyBorder="1" applyAlignment="1">
      <alignment horizontal="left" vertical="center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3" fillId="3" borderId="6" xfId="0" applyFont="1" applyFill="1" applyBorder="1" applyAlignment="1">
      <alignment horizontal="left" vertical="center"/>
    </xf>
    <xf numFmtId="0" fontId="8" fillId="0" borderId="10" xfId="0" applyFont="1" applyBorder="1" applyAlignment="1">
      <alignment horizontal="left" vertical="top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2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14" fontId="1" fillId="0" borderId="0" xfId="0" applyNumberFormat="1" applyFont="1" applyAlignment="1">
      <alignment horizontal="left"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  <xf numFmtId="0" fontId="3" fillId="6" borderId="6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'©'!A17</f>
        <v>44743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JULY 2022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44746</v>
      </c>
      <c r="B5" s="51"/>
      <c r="C5" s="50">
        <f>C14</f>
        <v>44747</v>
      </c>
      <c r="D5" s="51"/>
      <c r="E5" s="50">
        <f>E14</f>
        <v>44748</v>
      </c>
      <c r="F5" s="51"/>
      <c r="G5" s="50">
        <f>G14</f>
        <v>44749</v>
      </c>
      <c r="H5" s="51"/>
      <c r="I5" s="50">
        <f>I14</f>
        <v>44750</v>
      </c>
      <c r="J5" s="51"/>
      <c r="K5" s="50">
        <f>K14</f>
        <v>44751</v>
      </c>
      <c r="L5" s="51"/>
      <c r="M5" s="50">
        <f>M14</f>
        <v>44752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44743</v>
      </c>
      <c r="J6" s="3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26"/>
      <c r="B7" s="22"/>
      <c r="C7" s="34"/>
      <c r="D7" s="22"/>
      <c r="E7" s="26"/>
      <c r="F7" s="22"/>
      <c r="G7" s="34" t="s">
        <v>9</v>
      </c>
      <c r="H7" s="22"/>
      <c r="I7" s="34" t="s">
        <v>9</v>
      </c>
      <c r="J7" s="22"/>
      <c r="K7" s="34" t="s">
        <v>10</v>
      </c>
      <c r="L7" s="22"/>
      <c r="M7" s="34" t="s">
        <v>11</v>
      </c>
      <c r="N7" s="22"/>
    </row>
    <row r="8" spans="1:14" ht="14.1">
      <c r="A8" s="25"/>
      <c r="B8" s="22"/>
      <c r="C8" s="24"/>
      <c r="D8" s="22"/>
      <c r="E8" s="25"/>
      <c r="F8" s="22"/>
      <c r="G8" s="24" t="s">
        <v>12</v>
      </c>
      <c r="H8" s="22"/>
      <c r="I8" s="24" t="s">
        <v>12</v>
      </c>
      <c r="J8" s="22"/>
      <c r="K8" s="24" t="s">
        <v>12</v>
      </c>
      <c r="L8" s="22"/>
      <c r="M8" s="24" t="s">
        <v>12</v>
      </c>
      <c r="N8" s="22"/>
    </row>
    <row r="9" spans="1:14" ht="14.1">
      <c r="A9" s="23"/>
      <c r="B9" s="22"/>
      <c r="C9" s="33"/>
      <c r="D9" s="22"/>
      <c r="E9" s="23"/>
      <c r="F9" s="22"/>
      <c r="G9" s="33" t="s">
        <v>13</v>
      </c>
      <c r="H9" s="22"/>
      <c r="I9" s="33" t="s">
        <v>13</v>
      </c>
      <c r="J9" s="22"/>
      <c r="K9" s="33" t="s">
        <v>14</v>
      </c>
      <c r="L9" s="22"/>
      <c r="M9" s="33" t="s">
        <v>14</v>
      </c>
      <c r="N9" s="22"/>
    </row>
    <row r="10" spans="1:14" ht="14.1">
      <c r="A10" s="21"/>
      <c r="B10" s="22"/>
      <c r="C10" s="27"/>
      <c r="D10" s="22"/>
      <c r="E10" s="21"/>
      <c r="F10" s="22"/>
      <c r="G10" s="27" t="s">
        <v>15</v>
      </c>
      <c r="H10" s="22"/>
      <c r="I10" s="27" t="s">
        <v>15</v>
      </c>
      <c r="J10" s="22"/>
      <c r="K10" s="27" t="s">
        <v>15</v>
      </c>
      <c r="L10" s="22"/>
      <c r="M10" s="27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 t="s">
        <v>16</v>
      </c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28"/>
      <c r="D12" s="22"/>
      <c r="E12" s="29"/>
      <c r="F12" s="22"/>
      <c r="G12" s="28" t="s">
        <v>17</v>
      </c>
      <c r="H12" s="22"/>
      <c r="I12" s="28" t="s">
        <v>18</v>
      </c>
      <c r="J12" s="22"/>
      <c r="K12" s="28" t="s">
        <v>18</v>
      </c>
      <c r="L12" s="22"/>
      <c r="M12" s="28" t="s">
        <v>19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 t="s">
        <v>20</v>
      </c>
      <c r="H13" s="31"/>
      <c r="I13" s="32" t="s">
        <v>21</v>
      </c>
      <c r="J13" s="31"/>
      <c r="K13" s="32" t="s">
        <v>21</v>
      </c>
      <c r="L13" s="31"/>
      <c r="M13" s="32" t="s">
        <v>21</v>
      </c>
      <c r="N13" s="31"/>
    </row>
    <row r="14" spans="1:14" ht="18" customHeight="1">
      <c r="A14" s="2">
        <f>M6+1</f>
        <v>44746</v>
      </c>
      <c r="B14" s="3"/>
      <c r="C14" s="2">
        <f>A14+1</f>
        <v>44747</v>
      </c>
      <c r="D14" s="3"/>
      <c r="E14" s="2">
        <f>C14+1</f>
        <v>44748</v>
      </c>
      <c r="F14" s="3"/>
      <c r="G14" s="2">
        <f>E14+1</f>
        <v>44749</v>
      </c>
      <c r="H14" s="3"/>
      <c r="I14" s="2">
        <f>G14+1</f>
        <v>44750</v>
      </c>
      <c r="J14" s="3"/>
      <c r="K14" s="4">
        <f>I14+1</f>
        <v>44751</v>
      </c>
      <c r="L14" s="5"/>
      <c r="M14" s="4">
        <f>K14+1</f>
        <v>44752</v>
      </c>
      <c r="N14" s="5"/>
    </row>
    <row r="15" spans="1:14" ht="14.1">
      <c r="A15" s="26"/>
      <c r="B15" s="22"/>
      <c r="C15" s="34"/>
      <c r="D15" s="22"/>
      <c r="E15" s="26"/>
      <c r="F15" s="22"/>
      <c r="G15" s="34"/>
      <c r="H15" s="22"/>
      <c r="I15" s="34"/>
      <c r="J15" s="22"/>
      <c r="K15" s="34"/>
      <c r="L15" s="22"/>
      <c r="M15" s="34"/>
      <c r="N15" s="22"/>
    </row>
    <row r="16" spans="1:14" ht="14.1">
      <c r="A16" s="25"/>
      <c r="B16" s="22"/>
      <c r="C16" s="24"/>
      <c r="D16" s="22"/>
      <c r="E16" s="25"/>
      <c r="F16" s="22"/>
      <c r="G16" s="24"/>
      <c r="H16" s="22"/>
      <c r="I16" s="24"/>
      <c r="J16" s="22"/>
      <c r="K16" s="24"/>
      <c r="L16" s="22"/>
      <c r="M16" s="24"/>
      <c r="N16" s="22"/>
    </row>
    <row r="17" spans="1:14" ht="14.1">
      <c r="A17" s="23"/>
      <c r="B17" s="22"/>
      <c r="C17" s="33"/>
      <c r="D17" s="22"/>
      <c r="E17" s="23"/>
      <c r="F17" s="22"/>
      <c r="G17" s="33"/>
      <c r="H17" s="22"/>
      <c r="I17" s="33"/>
      <c r="J17" s="22"/>
      <c r="K17" s="33"/>
      <c r="L17" s="22"/>
      <c r="M17" s="33"/>
      <c r="N17" s="22"/>
    </row>
    <row r="18" spans="1:14" ht="14.1">
      <c r="A18" s="21"/>
      <c r="B18" s="22"/>
      <c r="C18" s="27"/>
      <c r="D18" s="22"/>
      <c r="E18" s="21"/>
      <c r="F18" s="22"/>
      <c r="G18" s="27"/>
      <c r="H18" s="22"/>
      <c r="I18" s="27"/>
      <c r="J18" s="22"/>
      <c r="K18" s="27"/>
      <c r="L18" s="22"/>
      <c r="M18" s="27"/>
      <c r="N18" s="22"/>
    </row>
    <row r="19" spans="1:14" ht="14.1">
      <c r="A19" s="59"/>
      <c r="B19" s="22"/>
      <c r="C19" s="60"/>
      <c r="D19" s="22"/>
      <c r="E19" s="59"/>
      <c r="F19" s="22"/>
      <c r="G19" s="60"/>
      <c r="H19" s="22"/>
      <c r="I19" s="60"/>
      <c r="J19" s="22"/>
      <c r="K19" s="60"/>
      <c r="L19" s="22"/>
      <c r="M19" s="60"/>
      <c r="N19" s="22"/>
    </row>
    <row r="20" spans="1:14" ht="14.1">
      <c r="A20" s="29"/>
      <c r="B20" s="22"/>
      <c r="C20" s="28"/>
      <c r="D20" s="22"/>
      <c r="E20" s="29"/>
      <c r="F20" s="22"/>
      <c r="G20" s="28"/>
      <c r="H20" s="22"/>
      <c r="I20" s="28"/>
      <c r="J20" s="22"/>
      <c r="K20" s="28"/>
      <c r="L20" s="22"/>
      <c r="M20" s="28"/>
      <c r="N20" s="22"/>
    </row>
    <row r="21" spans="1:14" ht="18" customHeight="1">
      <c r="A21" s="30"/>
      <c r="B21" s="22"/>
      <c r="C21" s="32"/>
      <c r="D21" s="31"/>
      <c r="E21" s="30"/>
      <c r="F21" s="22"/>
      <c r="G21" s="32"/>
      <c r="H21" s="31"/>
      <c r="I21" s="32"/>
      <c r="J21" s="31"/>
      <c r="K21" s="32"/>
      <c r="L21" s="31"/>
      <c r="M21" s="32"/>
      <c r="N21" s="31"/>
    </row>
    <row r="22" spans="1:14" ht="18" customHeight="1">
      <c r="A22" s="2">
        <f>M14+1</f>
        <v>44753</v>
      </c>
      <c r="B22" s="3"/>
      <c r="C22" s="2">
        <f>A22+1</f>
        <v>44754</v>
      </c>
      <c r="D22" s="3"/>
      <c r="E22" s="2">
        <f>C22+1</f>
        <v>44755</v>
      </c>
      <c r="F22" s="3"/>
      <c r="G22" s="2">
        <f>E22+1</f>
        <v>44756</v>
      </c>
      <c r="H22" s="3"/>
      <c r="I22" s="2">
        <f>G22+1</f>
        <v>44757</v>
      </c>
      <c r="J22" s="3"/>
      <c r="K22" s="4">
        <f>I22+1</f>
        <v>44758</v>
      </c>
      <c r="L22" s="5"/>
      <c r="M22" s="4">
        <f>K22+1</f>
        <v>44759</v>
      </c>
      <c r="N22" s="5"/>
    </row>
    <row r="23" spans="1:14" ht="14.1">
      <c r="A23" s="26"/>
      <c r="B23" s="22"/>
      <c r="C23" s="34"/>
      <c r="D23" s="22"/>
      <c r="E23" s="26"/>
      <c r="F23" s="22"/>
      <c r="G23" s="34"/>
      <c r="H23" s="22"/>
      <c r="I23" s="34"/>
      <c r="J23" s="22"/>
      <c r="K23" s="34"/>
      <c r="L23" s="22"/>
      <c r="M23" s="34"/>
      <c r="N23" s="22"/>
    </row>
    <row r="24" spans="1:14" ht="14.1">
      <c r="A24" s="25"/>
      <c r="B24" s="22"/>
      <c r="C24" s="24"/>
      <c r="D24" s="22"/>
      <c r="E24" s="25"/>
      <c r="F24" s="22"/>
      <c r="G24" s="24"/>
      <c r="H24" s="22"/>
      <c r="I24" s="24"/>
      <c r="J24" s="22"/>
      <c r="K24" s="24"/>
      <c r="L24" s="22"/>
      <c r="M24" s="24"/>
      <c r="N24" s="22"/>
    </row>
    <row r="25" spans="1:14" ht="14.1">
      <c r="A25" s="23"/>
      <c r="B25" s="22"/>
      <c r="C25" s="33"/>
      <c r="D25" s="22"/>
      <c r="E25" s="23"/>
      <c r="F25" s="22"/>
      <c r="G25" s="33"/>
      <c r="H25" s="22"/>
      <c r="I25" s="33"/>
      <c r="J25" s="22"/>
      <c r="K25" s="33"/>
      <c r="L25" s="22"/>
      <c r="M25" s="33"/>
      <c r="N25" s="22"/>
    </row>
    <row r="26" spans="1:14" ht="14.1">
      <c r="A26" s="21"/>
      <c r="B26" s="22"/>
      <c r="C26" s="27"/>
      <c r="D26" s="22"/>
      <c r="E26" s="21"/>
      <c r="F26" s="22"/>
      <c r="G26" s="27"/>
      <c r="H26" s="22"/>
      <c r="I26" s="27"/>
      <c r="J26" s="22"/>
      <c r="K26" s="27"/>
      <c r="L26" s="22"/>
      <c r="M26" s="27"/>
      <c r="N26" s="22"/>
    </row>
    <row r="27" spans="1:14" ht="14.1">
      <c r="A27" s="59"/>
      <c r="B27" s="22"/>
      <c r="C27" s="60"/>
      <c r="D27" s="22"/>
      <c r="E27" s="59"/>
      <c r="F27" s="22"/>
      <c r="G27" s="60"/>
      <c r="H27" s="22"/>
      <c r="I27" s="60"/>
      <c r="J27" s="22"/>
      <c r="K27" s="60"/>
      <c r="L27" s="22"/>
      <c r="M27" s="60"/>
      <c r="N27" s="22"/>
    </row>
    <row r="28" spans="1:14" ht="14.1">
      <c r="A28" s="29"/>
      <c r="B28" s="22"/>
      <c r="C28" s="28"/>
      <c r="D28" s="22"/>
      <c r="E28" s="29"/>
      <c r="F28" s="22"/>
      <c r="G28" s="28"/>
      <c r="H28" s="22"/>
      <c r="I28" s="28"/>
      <c r="J28" s="22"/>
      <c r="K28" s="28"/>
      <c r="L28" s="22"/>
      <c r="M28" s="28"/>
      <c r="N28" s="22"/>
    </row>
    <row r="29" spans="1:14" ht="18" customHeight="1">
      <c r="A29" s="30"/>
      <c r="B29" s="22"/>
      <c r="C29" s="32"/>
      <c r="D29" s="31"/>
      <c r="E29" s="30"/>
      <c r="F29" s="22"/>
      <c r="G29" s="32"/>
      <c r="H29" s="31"/>
      <c r="I29" s="32"/>
      <c r="J29" s="31"/>
      <c r="K29" s="32"/>
      <c r="L29" s="31"/>
      <c r="M29" s="32"/>
      <c r="N29" s="31"/>
    </row>
    <row r="30" spans="1:14" ht="18" customHeight="1">
      <c r="A30" s="2">
        <f>M22+1</f>
        <v>44760</v>
      </c>
      <c r="B30" s="3"/>
      <c r="C30" s="2">
        <f>A30+1</f>
        <v>44761</v>
      </c>
      <c r="D30" s="3"/>
      <c r="E30" s="2">
        <f>C30+1</f>
        <v>44762</v>
      </c>
      <c r="F30" s="3"/>
      <c r="G30" s="2">
        <f>E30+1</f>
        <v>44763</v>
      </c>
      <c r="H30" s="3"/>
      <c r="I30" s="2">
        <f>G30+1</f>
        <v>44764</v>
      </c>
      <c r="J30" s="3"/>
      <c r="K30" s="4">
        <f>I30+1</f>
        <v>44765</v>
      </c>
      <c r="L30" s="5"/>
      <c r="M30" s="4">
        <f>K30+1</f>
        <v>44766</v>
      </c>
      <c r="N30" s="5"/>
    </row>
    <row r="31" spans="1:14" ht="14.1">
      <c r="A31" s="26"/>
      <c r="B31" s="22"/>
      <c r="C31" s="34"/>
      <c r="D31" s="22"/>
      <c r="E31" s="26"/>
      <c r="F31" s="22"/>
      <c r="G31" s="34"/>
      <c r="H31" s="22"/>
      <c r="I31" s="34"/>
      <c r="J31" s="22"/>
      <c r="K31" s="34"/>
      <c r="L31" s="22"/>
      <c r="M31" s="34"/>
      <c r="N31" s="22"/>
    </row>
    <row r="32" spans="1:14" ht="14.1">
      <c r="A32" s="25"/>
      <c r="B32" s="22"/>
      <c r="C32" s="24"/>
      <c r="D32" s="22"/>
      <c r="E32" s="25"/>
      <c r="F32" s="22"/>
      <c r="G32" s="24"/>
      <c r="H32" s="22"/>
      <c r="I32" s="24"/>
      <c r="J32" s="22"/>
      <c r="K32" s="24"/>
      <c r="L32" s="22"/>
      <c r="M32" s="24"/>
      <c r="N32" s="22"/>
    </row>
    <row r="33" spans="1:14" ht="14.1">
      <c r="A33" s="23"/>
      <c r="B33" s="22"/>
      <c r="C33" s="33"/>
      <c r="D33" s="22"/>
      <c r="E33" s="23"/>
      <c r="F33" s="22"/>
      <c r="G33" s="33"/>
      <c r="H33" s="22"/>
      <c r="I33" s="33"/>
      <c r="J33" s="22"/>
      <c r="K33" s="33"/>
      <c r="L33" s="22"/>
      <c r="M33" s="33"/>
      <c r="N33" s="22"/>
    </row>
    <row r="34" spans="1:14" ht="14.1">
      <c r="A34" s="21"/>
      <c r="B34" s="22"/>
      <c r="C34" s="27"/>
      <c r="D34" s="22"/>
      <c r="E34" s="21"/>
      <c r="F34" s="22"/>
      <c r="G34" s="27"/>
      <c r="H34" s="22"/>
      <c r="I34" s="27"/>
      <c r="J34" s="22"/>
      <c r="K34" s="27"/>
      <c r="L34" s="22"/>
      <c r="M34" s="27"/>
      <c r="N34" s="22"/>
    </row>
    <row r="35" spans="1:14" ht="14.1">
      <c r="A35" s="59"/>
      <c r="B35" s="22"/>
      <c r="C35" s="60"/>
      <c r="D35" s="22"/>
      <c r="E35" s="59"/>
      <c r="F35" s="22"/>
      <c r="G35" s="60"/>
      <c r="H35" s="22"/>
      <c r="I35" s="60"/>
      <c r="J35" s="22"/>
      <c r="K35" s="60"/>
      <c r="L35" s="22"/>
      <c r="M35" s="60"/>
      <c r="N35" s="22"/>
    </row>
    <row r="36" spans="1:14" ht="14.1">
      <c r="A36" s="29"/>
      <c r="B36" s="22"/>
      <c r="C36" s="28"/>
      <c r="D36" s="22"/>
      <c r="E36" s="29"/>
      <c r="F36" s="22"/>
      <c r="G36" s="28"/>
      <c r="H36" s="22"/>
      <c r="I36" s="28"/>
      <c r="J36" s="22"/>
      <c r="K36" s="28"/>
      <c r="L36" s="22"/>
      <c r="M36" s="28"/>
      <c r="N36" s="22"/>
    </row>
    <row r="37" spans="1:14" ht="18" customHeight="1">
      <c r="A37" s="30"/>
      <c r="B37" s="22"/>
      <c r="C37" s="32"/>
      <c r="D37" s="31"/>
      <c r="E37" s="30"/>
      <c r="F37" s="22"/>
      <c r="G37" s="32"/>
      <c r="H37" s="31"/>
      <c r="I37" s="32"/>
      <c r="J37" s="31"/>
      <c r="K37" s="32"/>
      <c r="L37" s="31"/>
      <c r="M37" s="32"/>
      <c r="N37" s="31"/>
    </row>
    <row r="38" spans="1:14" ht="18" customHeight="1">
      <c r="A38" s="2">
        <f>IF(M30="","",IF(MONTH(M30+1)&lt;&gt;MONTH($A$1),"",M30+1))</f>
        <v>44767</v>
      </c>
      <c r="B38" s="3"/>
      <c r="C38" s="2">
        <f>IF(A38="","",IF(MONTH(A38+1)&lt;&gt;MONTH($A$1),"",A38+1))</f>
        <v>44768</v>
      </c>
      <c r="D38" s="3"/>
      <c r="E38" s="2">
        <f>IF(C38="","",IF(MONTH(C38+1)&lt;&gt;MONTH($A$1),"",C38+1))</f>
        <v>44769</v>
      </c>
      <c r="F38" s="3"/>
      <c r="G38" s="2">
        <f>IF(E38="","",IF(MONTH(E38+1)&lt;&gt;MONTH($A$1),"",E38+1))</f>
        <v>44770</v>
      </c>
      <c r="H38" s="3"/>
      <c r="I38" s="2">
        <f>IF(G38="","",IF(MONTH(G38+1)&lt;&gt;MONTH($A$1),"",G38+1))</f>
        <v>44771</v>
      </c>
      <c r="J38" s="3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26"/>
      <c r="B39" s="22"/>
      <c r="C39" s="34"/>
      <c r="D39" s="22"/>
      <c r="E39" s="26"/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25"/>
      <c r="B40" s="22"/>
      <c r="C40" s="24"/>
      <c r="D40" s="22"/>
      <c r="E40" s="25"/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/>
      <c r="B41" s="22"/>
      <c r="C41" s="33"/>
      <c r="D41" s="22"/>
      <c r="E41" s="23"/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4.1">
      <c r="A42" s="21"/>
      <c r="B42" s="22"/>
      <c r="C42" s="27"/>
      <c r="D42" s="22"/>
      <c r="E42" s="21"/>
      <c r="F42" s="22"/>
      <c r="G42" s="27"/>
      <c r="H42" s="22"/>
      <c r="I42" s="27"/>
      <c r="J42" s="22"/>
      <c r="K42" s="27"/>
      <c r="L42" s="22"/>
      <c r="M42" s="27"/>
      <c r="N42" s="22"/>
    </row>
    <row r="43" spans="1:14" ht="14.1">
      <c r="A43" s="59"/>
      <c r="B43" s="22"/>
      <c r="C43" s="60"/>
      <c r="D43" s="22"/>
      <c r="E43" s="59"/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/>
      <c r="B44" s="22"/>
      <c r="C44" s="28"/>
      <c r="D44" s="22"/>
      <c r="E44" s="29"/>
      <c r="F44" s="22"/>
      <c r="G44" s="28"/>
      <c r="H44" s="22"/>
      <c r="I44" s="28"/>
      <c r="J44" s="22"/>
      <c r="K44" s="28"/>
      <c r="L44" s="22"/>
      <c r="M44" s="28"/>
      <c r="N44" s="22"/>
    </row>
    <row r="45" spans="1:14" ht="18" customHeight="1">
      <c r="A45" s="30"/>
      <c r="B45" s="22"/>
      <c r="C45" s="32"/>
      <c r="D45" s="31"/>
      <c r="E45" s="30"/>
      <c r="F45" s="22"/>
      <c r="G45" s="32"/>
      <c r="H45" s="31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/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EDATE('©'!A17,8)</f>
        <v>44986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MARCH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44991</v>
      </c>
      <c r="B5" s="51"/>
      <c r="C5" s="50">
        <f>C14</f>
        <v>44992</v>
      </c>
      <c r="D5" s="51"/>
      <c r="E5" s="50">
        <f>E14</f>
        <v>44993</v>
      </c>
      <c r="F5" s="51"/>
      <c r="G5" s="50">
        <f>G14</f>
        <v>44994</v>
      </c>
      <c r="H5" s="51"/>
      <c r="I5" s="50">
        <f>I14</f>
        <v>44995</v>
      </c>
      <c r="J5" s="51"/>
      <c r="K5" s="50">
        <f>K14</f>
        <v>44996</v>
      </c>
      <c r="L5" s="51"/>
      <c r="M5" s="50">
        <f>M14</f>
        <v>44997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44986</v>
      </c>
      <c r="F6" s="3"/>
      <c r="G6" s="2">
        <f>IF(E6="",IF(WEEKDAY($A$1,1)=MOD(startday,7)+3,$A$1,""),E6+1)</f>
        <v>44987</v>
      </c>
      <c r="H6" s="3"/>
      <c r="I6" s="2">
        <f>IF(G6="",IF(WEEKDAY($A$1,1)=MOD(startday,7)+4,$A$1,""),G6+1)</f>
        <v>44988</v>
      </c>
      <c r="J6" s="3"/>
      <c r="K6" s="4">
        <f>IF(I6="",IF(WEEKDAY($A$1,1)=MOD(startday,7)+5,$A$1,""),I6+1)</f>
        <v>44989</v>
      </c>
      <c r="L6" s="5"/>
      <c r="M6" s="4">
        <f>IF(K6="",IF(WEEKDAY($A$1,1)=MOD(startday+5,7)+1,$A$1,""),K6+1)</f>
        <v>44990</v>
      </c>
      <c r="N6" s="5"/>
    </row>
    <row r="7" spans="1:14" ht="14.1">
      <c r="A7" s="26" t="s">
        <v>24</v>
      </c>
      <c r="B7" s="22"/>
      <c r="C7" s="26" t="s">
        <v>24</v>
      </c>
      <c r="D7" s="22"/>
      <c r="E7" s="26" t="s">
        <v>24</v>
      </c>
      <c r="F7" s="22"/>
      <c r="G7" s="26" t="s">
        <v>24</v>
      </c>
      <c r="H7" s="22"/>
      <c r="I7" s="26" t="s">
        <v>24</v>
      </c>
      <c r="J7" s="22"/>
      <c r="K7" s="26" t="s">
        <v>24</v>
      </c>
      <c r="L7" s="22"/>
      <c r="M7" s="26" t="s">
        <v>24</v>
      </c>
      <c r="N7" s="22"/>
    </row>
    <row r="8" spans="1:14" ht="14.1">
      <c r="A8" s="25" t="s">
        <v>12</v>
      </c>
      <c r="B8" s="22"/>
      <c r="C8" s="25" t="s">
        <v>12</v>
      </c>
      <c r="D8" s="22"/>
      <c r="E8" s="25" t="s">
        <v>12</v>
      </c>
      <c r="F8" s="22"/>
      <c r="G8" s="25" t="s">
        <v>12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 t="s">
        <v>13</v>
      </c>
      <c r="B9" s="22"/>
      <c r="C9" s="23" t="s">
        <v>13</v>
      </c>
      <c r="D9" s="22"/>
      <c r="E9" s="23" t="s">
        <v>13</v>
      </c>
      <c r="F9" s="22"/>
      <c r="G9" s="23" t="s">
        <v>13</v>
      </c>
      <c r="H9" s="22"/>
      <c r="I9" s="23" t="s">
        <v>13</v>
      </c>
      <c r="J9" s="22"/>
      <c r="K9" s="23" t="s">
        <v>13</v>
      </c>
      <c r="L9" s="22"/>
      <c r="M9" s="23" t="s">
        <v>13</v>
      </c>
      <c r="N9" s="22"/>
    </row>
    <row r="10" spans="1:14" ht="14.1">
      <c r="A10" s="21" t="s">
        <v>24</v>
      </c>
      <c r="B10" s="22"/>
      <c r="C10" s="21" t="s">
        <v>24</v>
      </c>
      <c r="D10" s="22"/>
      <c r="E10" s="21" t="s">
        <v>24</v>
      </c>
      <c r="F10" s="22"/>
      <c r="G10" s="21" t="s">
        <v>24</v>
      </c>
      <c r="H10" s="22"/>
      <c r="I10" s="21" t="s">
        <v>24</v>
      </c>
      <c r="J10" s="22"/>
      <c r="K10" s="21" t="s">
        <v>24</v>
      </c>
      <c r="L10" s="22"/>
      <c r="M10" s="21" t="s">
        <v>24</v>
      </c>
      <c r="N10" s="22"/>
    </row>
    <row r="11" spans="1:14" ht="14.1">
      <c r="A11" s="59" t="s">
        <v>25</v>
      </c>
      <c r="B11" s="22"/>
      <c r="C11" s="59" t="s">
        <v>25</v>
      </c>
      <c r="D11" s="22"/>
      <c r="E11" s="59" t="s">
        <v>25</v>
      </c>
      <c r="F11" s="22"/>
      <c r="G11" s="59" t="s">
        <v>25</v>
      </c>
      <c r="H11" s="22"/>
      <c r="I11" s="59" t="s">
        <v>25</v>
      </c>
      <c r="J11" s="22"/>
      <c r="K11" s="59" t="s">
        <v>25</v>
      </c>
      <c r="L11" s="22"/>
      <c r="M11" s="59" t="s">
        <v>25</v>
      </c>
      <c r="N11" s="22"/>
    </row>
    <row r="12" spans="1:14" ht="14.1">
      <c r="A12" s="29" t="s">
        <v>26</v>
      </c>
      <c r="B12" s="22"/>
      <c r="C12" s="28" t="s">
        <v>27</v>
      </c>
      <c r="D12" s="22"/>
      <c r="E12" s="29" t="s">
        <v>28</v>
      </c>
      <c r="F12" s="22"/>
      <c r="G12" s="28" t="s">
        <v>27</v>
      </c>
      <c r="H12" s="22"/>
      <c r="I12" s="28" t="s">
        <v>27</v>
      </c>
      <c r="J12" s="22"/>
      <c r="K12" s="28" t="s">
        <v>19</v>
      </c>
      <c r="L12" s="22"/>
      <c r="M12" s="28" t="s">
        <v>19</v>
      </c>
      <c r="N12" s="22"/>
    </row>
    <row r="13" spans="1:14" ht="18" customHeight="1">
      <c r="A13" s="30" t="s">
        <v>29</v>
      </c>
      <c r="B13" s="22"/>
      <c r="C13" s="30" t="s">
        <v>30</v>
      </c>
      <c r="D13" s="22"/>
      <c r="E13" s="30" t="s">
        <v>30</v>
      </c>
      <c r="F13" s="22"/>
      <c r="G13" s="30" t="s">
        <v>30</v>
      </c>
      <c r="H13" s="22"/>
      <c r="I13" s="30" t="s">
        <v>30</v>
      </c>
      <c r="J13" s="22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44991</v>
      </c>
      <c r="B14" s="3"/>
      <c r="C14" s="2">
        <f>A14+1</f>
        <v>44992</v>
      </c>
      <c r="D14" s="3"/>
      <c r="E14" s="2">
        <f>C14+1</f>
        <v>44993</v>
      </c>
      <c r="F14" s="3"/>
      <c r="G14" s="2">
        <f>E14+1</f>
        <v>44994</v>
      </c>
      <c r="H14" s="3"/>
      <c r="I14" s="2">
        <f>G14+1</f>
        <v>44995</v>
      </c>
      <c r="J14" s="3"/>
      <c r="K14" s="4">
        <f>I14+1</f>
        <v>44996</v>
      </c>
      <c r="L14" s="5"/>
      <c r="M14" s="4">
        <f>K14+1</f>
        <v>44997</v>
      </c>
      <c r="N14" s="5"/>
    </row>
    <row r="15" spans="1:14" ht="14.1">
      <c r="A15" s="26" t="s">
        <v>24</v>
      </c>
      <c r="B15" s="22"/>
      <c r="C15" s="34" t="s">
        <v>24</v>
      </c>
      <c r="D15" s="22"/>
      <c r="E15" s="26" t="s">
        <v>24</v>
      </c>
      <c r="F15" s="22"/>
      <c r="G15" s="34" t="s">
        <v>24</v>
      </c>
      <c r="H15" s="22"/>
      <c r="I15" s="34" t="s">
        <v>31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25" t="s">
        <v>16</v>
      </c>
      <c r="B16" s="22"/>
      <c r="C16" s="24" t="s">
        <v>16</v>
      </c>
      <c r="D16" s="22"/>
      <c r="E16" s="25" t="s">
        <v>16</v>
      </c>
      <c r="F16" s="22"/>
      <c r="G16" s="24" t="s">
        <v>25</v>
      </c>
      <c r="H16" s="22"/>
      <c r="I16" s="24" t="s">
        <v>25</v>
      </c>
      <c r="J16" s="22"/>
      <c r="K16" s="24" t="s">
        <v>25</v>
      </c>
      <c r="L16" s="22"/>
      <c r="M16" s="24" t="s">
        <v>25</v>
      </c>
      <c r="N16" s="22"/>
    </row>
    <row r="17" spans="1:14" ht="14.1">
      <c r="A17" s="23" t="s">
        <v>11</v>
      </c>
      <c r="B17" s="22"/>
      <c r="C17" s="33" t="s">
        <v>31</v>
      </c>
      <c r="D17" s="22"/>
      <c r="E17" s="23" t="s">
        <v>31</v>
      </c>
      <c r="F17" s="22"/>
      <c r="G17" s="33" t="s">
        <v>31</v>
      </c>
      <c r="H17" s="22"/>
      <c r="I17" s="33" t="s">
        <v>11</v>
      </c>
      <c r="J17" s="22"/>
      <c r="K17" s="33" t="s">
        <v>32</v>
      </c>
      <c r="L17" s="22"/>
      <c r="M17" s="33" t="s">
        <v>32</v>
      </c>
      <c r="N17" s="22"/>
    </row>
    <row r="18" spans="1:14" ht="14.1">
      <c r="A18" s="21" t="s">
        <v>15</v>
      </c>
      <c r="B18" s="22"/>
      <c r="C18" s="21" t="s">
        <v>15</v>
      </c>
      <c r="D18" s="22"/>
      <c r="E18" s="21" t="s">
        <v>15</v>
      </c>
      <c r="F18" s="22"/>
      <c r="G18" s="21" t="s">
        <v>15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59" t="s">
        <v>13</v>
      </c>
      <c r="B19" s="22"/>
      <c r="C19" s="59" t="s">
        <v>13</v>
      </c>
      <c r="D19" s="22"/>
      <c r="E19" s="59" t="s">
        <v>13</v>
      </c>
      <c r="F19" s="22"/>
      <c r="G19" s="59" t="s">
        <v>13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27</v>
      </c>
      <c r="B20" s="22"/>
      <c r="C20" s="28" t="s">
        <v>27</v>
      </c>
      <c r="D20" s="22"/>
      <c r="E20" s="29" t="s">
        <v>28</v>
      </c>
      <c r="F20" s="22"/>
      <c r="G20" s="28" t="s">
        <v>33</v>
      </c>
      <c r="H20" s="22"/>
      <c r="I20" s="28" t="s">
        <v>17</v>
      </c>
      <c r="J20" s="22"/>
      <c r="K20" s="28" t="s">
        <v>17</v>
      </c>
      <c r="L20" s="22"/>
      <c r="M20" s="28" t="s">
        <v>17</v>
      </c>
      <c r="N20" s="22"/>
    </row>
    <row r="21" spans="1:14" ht="18" customHeight="1">
      <c r="A21" s="30" t="s">
        <v>34</v>
      </c>
      <c r="B21" s="22"/>
      <c r="C21" s="30" t="s">
        <v>34</v>
      </c>
      <c r="D21" s="22"/>
      <c r="E21" s="30" t="s">
        <v>34</v>
      </c>
      <c r="F21" s="22"/>
      <c r="G21" s="30" t="s">
        <v>34</v>
      </c>
      <c r="H21" s="22"/>
      <c r="I21" s="30" t="s">
        <v>35</v>
      </c>
      <c r="J21" s="22"/>
      <c r="K21" s="32" t="s">
        <v>36</v>
      </c>
      <c r="L21" s="31"/>
      <c r="M21" s="32" t="s">
        <v>37</v>
      </c>
      <c r="N21" s="31"/>
    </row>
    <row r="22" spans="1:14" ht="18" customHeight="1">
      <c r="A22" s="2">
        <f>M14+1</f>
        <v>44998</v>
      </c>
      <c r="B22" s="3"/>
      <c r="C22" s="2">
        <f>A22+1</f>
        <v>44999</v>
      </c>
      <c r="D22" s="3"/>
      <c r="E22" s="2">
        <f>C22+1</f>
        <v>45000</v>
      </c>
      <c r="F22" s="3"/>
      <c r="G22" s="2">
        <f>E22+1</f>
        <v>45001</v>
      </c>
      <c r="H22" s="3"/>
      <c r="I22" s="2">
        <f>G22+1</f>
        <v>45002</v>
      </c>
      <c r="J22" s="3"/>
      <c r="K22" s="4">
        <f>I22+1</f>
        <v>45003</v>
      </c>
      <c r="L22" s="5"/>
      <c r="M22" s="4">
        <f>K22+1</f>
        <v>45004</v>
      </c>
      <c r="N22" s="5"/>
    </row>
    <row r="23" spans="1:14" ht="14.1">
      <c r="A23" s="26" t="s">
        <v>31</v>
      </c>
      <c r="B23" s="22"/>
      <c r="C23" s="26" t="s">
        <v>9</v>
      </c>
      <c r="D23" s="22"/>
      <c r="E23" s="26" t="s">
        <v>9</v>
      </c>
      <c r="F23" s="22"/>
      <c r="G23" s="26" t="s">
        <v>9</v>
      </c>
      <c r="H23" s="22"/>
      <c r="I23" s="34" t="s">
        <v>24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25" t="s">
        <v>25</v>
      </c>
      <c r="B24" s="22"/>
      <c r="C24" s="25" t="s">
        <v>25</v>
      </c>
      <c r="D24" s="22"/>
      <c r="E24" s="25" t="s">
        <v>25</v>
      </c>
      <c r="F24" s="22"/>
      <c r="G24" s="25" t="s">
        <v>25</v>
      </c>
      <c r="H24" s="22"/>
      <c r="I24" s="24" t="s">
        <v>38</v>
      </c>
      <c r="J24" s="22"/>
      <c r="K24" s="24" t="s">
        <v>38</v>
      </c>
      <c r="L24" s="22"/>
      <c r="M24" s="24" t="s">
        <v>38</v>
      </c>
      <c r="N24" s="22"/>
    </row>
    <row r="25" spans="1:14" ht="14.1">
      <c r="A25" s="23" t="s">
        <v>11</v>
      </c>
      <c r="B25" s="22"/>
      <c r="C25" s="33" t="s">
        <v>11</v>
      </c>
      <c r="D25" s="22"/>
      <c r="E25" s="23" t="s">
        <v>39</v>
      </c>
      <c r="F25" s="22"/>
      <c r="G25" s="33" t="s">
        <v>40</v>
      </c>
      <c r="H25" s="22"/>
      <c r="I25" s="33" t="s">
        <v>40</v>
      </c>
      <c r="J25" s="22"/>
      <c r="K25" s="33" t="s">
        <v>40</v>
      </c>
      <c r="L25" s="22"/>
      <c r="M25" s="33" t="s">
        <v>40</v>
      </c>
      <c r="N25" s="22"/>
    </row>
    <row r="26" spans="1:14" ht="14.1">
      <c r="A26" s="21" t="s">
        <v>15</v>
      </c>
      <c r="B26" s="22"/>
      <c r="C26" s="27" t="s">
        <v>24</v>
      </c>
      <c r="D26" s="22"/>
      <c r="E26" s="21" t="s">
        <v>24</v>
      </c>
      <c r="F26" s="22"/>
      <c r="G26" s="21" t="s">
        <v>15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28</v>
      </c>
      <c r="B28" s="22"/>
      <c r="C28" s="28" t="s">
        <v>17</v>
      </c>
      <c r="D28" s="22"/>
      <c r="E28" s="29" t="s">
        <v>28</v>
      </c>
      <c r="F28" s="22"/>
      <c r="G28" s="28" t="s">
        <v>26</v>
      </c>
      <c r="H28" s="22"/>
      <c r="I28" s="28" t="s">
        <v>26</v>
      </c>
      <c r="J28" s="22"/>
      <c r="K28" s="28" t="s">
        <v>26</v>
      </c>
      <c r="L28" s="22"/>
      <c r="M28" s="28" t="s">
        <v>26</v>
      </c>
      <c r="N28" s="22"/>
    </row>
    <row r="29" spans="1:14" ht="18" customHeight="1">
      <c r="A29" s="30" t="s">
        <v>30</v>
      </c>
      <c r="B29" s="22"/>
      <c r="C29" s="30" t="s">
        <v>29</v>
      </c>
      <c r="D29" s="22"/>
      <c r="E29" s="30" t="s">
        <v>30</v>
      </c>
      <c r="F29" s="22"/>
      <c r="G29" s="30" t="s">
        <v>29</v>
      </c>
      <c r="H29" s="22"/>
      <c r="I29" s="30" t="s">
        <v>29</v>
      </c>
      <c r="J29" s="22"/>
      <c r="K29" s="32" t="s">
        <v>41</v>
      </c>
      <c r="L29" s="31"/>
      <c r="M29" s="32" t="s">
        <v>41</v>
      </c>
      <c r="N29" s="31"/>
    </row>
    <row r="30" spans="1:14" ht="18" customHeight="1">
      <c r="A30" s="2">
        <f>M22+1</f>
        <v>45005</v>
      </c>
      <c r="B30" s="3"/>
      <c r="C30" s="2">
        <f>A30+1</f>
        <v>45006</v>
      </c>
      <c r="D30" s="3"/>
      <c r="E30" s="2">
        <f>C30+1</f>
        <v>45007</v>
      </c>
      <c r="F30" s="3"/>
      <c r="G30" s="2">
        <f>E30+1</f>
        <v>45008</v>
      </c>
      <c r="H30" s="3"/>
      <c r="I30" s="2">
        <f>G30+1</f>
        <v>45009</v>
      </c>
      <c r="J30" s="3"/>
      <c r="K30" s="4">
        <f>I30+1</f>
        <v>45010</v>
      </c>
      <c r="L30" s="5"/>
      <c r="M30" s="4">
        <f>K30+1</f>
        <v>45011</v>
      </c>
      <c r="N30" s="5"/>
    </row>
    <row r="31" spans="1:14" ht="14.1">
      <c r="A31" s="26" t="s">
        <v>24</v>
      </c>
      <c r="B31" s="22"/>
      <c r="C31" s="26" t="s">
        <v>24</v>
      </c>
      <c r="D31" s="22"/>
      <c r="E31" s="26" t="s">
        <v>24</v>
      </c>
      <c r="F31" s="22"/>
      <c r="G31" s="26" t="s">
        <v>24</v>
      </c>
      <c r="H31" s="22"/>
      <c r="I31" s="34" t="s">
        <v>39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25" t="s">
        <v>38</v>
      </c>
      <c r="B32" s="22"/>
      <c r="C32" s="24" t="s">
        <v>38</v>
      </c>
      <c r="D32" s="22"/>
      <c r="E32" s="25" t="s">
        <v>38</v>
      </c>
      <c r="F32" s="22"/>
      <c r="G32" s="24" t="s">
        <v>38</v>
      </c>
      <c r="H32" s="22"/>
      <c r="I32" s="24" t="s">
        <v>42</v>
      </c>
      <c r="J32" s="22"/>
      <c r="K32" s="24" t="s">
        <v>42</v>
      </c>
      <c r="L32" s="22"/>
      <c r="M32" s="24" t="s">
        <v>42</v>
      </c>
      <c r="N32" s="22"/>
    </row>
    <row r="33" spans="1:14" ht="14.1">
      <c r="A33" s="23" t="s">
        <v>11</v>
      </c>
      <c r="B33" s="22"/>
      <c r="C33" s="33" t="s">
        <v>9</v>
      </c>
      <c r="D33" s="22"/>
      <c r="E33" s="23" t="s">
        <v>31</v>
      </c>
      <c r="F33" s="22"/>
      <c r="G33" s="33" t="s">
        <v>9</v>
      </c>
      <c r="H33" s="22"/>
      <c r="I33" s="33" t="s">
        <v>9</v>
      </c>
      <c r="J33" s="22"/>
      <c r="K33" s="33" t="s">
        <v>31</v>
      </c>
      <c r="L33" s="22"/>
      <c r="M33" s="33" t="s">
        <v>31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7" t="s">
        <v>15</v>
      </c>
      <c r="J34" s="22"/>
      <c r="K34" s="27" t="s">
        <v>15</v>
      </c>
      <c r="L34" s="22"/>
      <c r="M34" s="27" t="s">
        <v>15</v>
      </c>
      <c r="N34" s="22"/>
    </row>
    <row r="35" spans="1:14" ht="14.1">
      <c r="A35" s="59" t="s">
        <v>43</v>
      </c>
      <c r="B35" s="22"/>
      <c r="C35" s="59" t="s">
        <v>43</v>
      </c>
      <c r="D35" s="22"/>
      <c r="E35" s="59" t="s">
        <v>43</v>
      </c>
      <c r="F35" s="22"/>
      <c r="G35" s="59" t="s">
        <v>43</v>
      </c>
      <c r="H35" s="22"/>
      <c r="I35" s="59" t="s">
        <v>43</v>
      </c>
      <c r="J35" s="22"/>
      <c r="K35" s="59" t="s">
        <v>43</v>
      </c>
      <c r="L35" s="22"/>
      <c r="M35" s="59" t="s">
        <v>43</v>
      </c>
      <c r="N35" s="22"/>
    </row>
    <row r="36" spans="1:14" ht="14.1">
      <c r="A36" s="29" t="s">
        <v>44</v>
      </c>
      <c r="B36" s="22"/>
      <c r="C36" s="29" t="s">
        <v>27</v>
      </c>
      <c r="D36" s="22"/>
      <c r="E36" s="29" t="s">
        <v>28</v>
      </c>
      <c r="F36" s="22"/>
      <c r="G36" s="29" t="s">
        <v>33</v>
      </c>
      <c r="H36" s="22"/>
      <c r="I36" s="29" t="s">
        <v>17</v>
      </c>
      <c r="J36" s="22"/>
      <c r="K36" s="29" t="s">
        <v>17</v>
      </c>
      <c r="L36" s="22"/>
      <c r="M36" s="29" t="s">
        <v>17</v>
      </c>
      <c r="N36" s="22"/>
    </row>
    <row r="37" spans="1:14" ht="18" customHeight="1">
      <c r="A37" s="30" t="s">
        <v>34</v>
      </c>
      <c r="B37" s="22"/>
      <c r="C37" s="30" t="s">
        <v>34</v>
      </c>
      <c r="D37" s="22"/>
      <c r="E37" s="30" t="s">
        <v>34</v>
      </c>
      <c r="F37" s="22"/>
      <c r="G37" s="30" t="s">
        <v>34</v>
      </c>
      <c r="H37" s="22"/>
      <c r="I37" s="30" t="s">
        <v>35</v>
      </c>
      <c r="J37" s="22"/>
      <c r="K37" s="32" t="s">
        <v>37</v>
      </c>
      <c r="L37" s="31"/>
      <c r="M37" s="32" t="s">
        <v>37</v>
      </c>
      <c r="N37" s="31"/>
    </row>
    <row r="38" spans="1:14" ht="18" customHeight="1">
      <c r="A38" s="2">
        <f>IF(M30="","",IF(MONTH(M30+1)&lt;&gt;MONTH($A$1),"",M30+1))</f>
        <v>45012</v>
      </c>
      <c r="B38" s="3"/>
      <c r="C38" s="2">
        <f>IF(A38="","",IF(MONTH(A38+1)&lt;&gt;MONTH($A$1),"",A38+1))</f>
        <v>45013</v>
      </c>
      <c r="D38" s="3"/>
      <c r="E38" s="2">
        <f>IF(C38="","",IF(MONTH(C38+1)&lt;&gt;MONTH($A$1),"",C38+1))</f>
        <v>45014</v>
      </c>
      <c r="F38" s="3"/>
      <c r="G38" s="2">
        <f>IF(E38="","",IF(MONTH(E38+1)&lt;&gt;MONTH($A$1),"",E38+1))</f>
        <v>45015</v>
      </c>
      <c r="H38" s="3"/>
      <c r="I38" s="2">
        <f>IF(G38="","",IF(MONTH(G38+1)&lt;&gt;MONTH($A$1),"",G38+1))</f>
        <v>45016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39</v>
      </c>
      <c r="B39" s="22"/>
      <c r="C39" s="34" t="s">
        <v>11</v>
      </c>
      <c r="D39" s="22"/>
      <c r="E39" s="26" t="s">
        <v>39</v>
      </c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25" t="s">
        <v>42</v>
      </c>
      <c r="B40" s="22"/>
      <c r="C40" s="25" t="s">
        <v>42</v>
      </c>
      <c r="D40" s="22"/>
      <c r="E40" s="25" t="s">
        <v>42</v>
      </c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45</v>
      </c>
      <c r="B41" s="22"/>
      <c r="C41" s="33" t="s">
        <v>9</v>
      </c>
      <c r="D41" s="22"/>
      <c r="E41" s="23" t="s">
        <v>9</v>
      </c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4.1">
      <c r="A42" s="21" t="s">
        <v>15</v>
      </c>
      <c r="B42" s="22"/>
      <c r="C42" s="21" t="s">
        <v>15</v>
      </c>
      <c r="D42" s="22"/>
      <c r="E42" s="21" t="s">
        <v>15</v>
      </c>
      <c r="F42" s="22"/>
      <c r="G42" s="27"/>
      <c r="H42" s="22"/>
      <c r="I42" s="27"/>
      <c r="J42" s="22"/>
      <c r="K42" s="27"/>
      <c r="L42" s="22"/>
      <c r="M42" s="27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28</v>
      </c>
      <c r="B44" s="22"/>
      <c r="C44" s="29" t="s">
        <v>17</v>
      </c>
      <c r="D44" s="22"/>
      <c r="E44" s="29" t="s">
        <v>28</v>
      </c>
      <c r="F44" s="22"/>
      <c r="G44" s="28"/>
      <c r="H44" s="22"/>
      <c r="I44" s="28"/>
      <c r="J44" s="22"/>
      <c r="K44" s="28"/>
      <c r="L44" s="22"/>
      <c r="M44" s="28"/>
      <c r="N44" s="22"/>
    </row>
    <row r="45" spans="1:14" ht="18" customHeight="1">
      <c r="A45" s="30" t="s">
        <v>30</v>
      </c>
      <c r="B45" s="22"/>
      <c r="C45" s="32" t="s">
        <v>29</v>
      </c>
      <c r="D45" s="31"/>
      <c r="E45" s="30" t="s">
        <v>30</v>
      </c>
      <c r="F45" s="22"/>
      <c r="G45" s="32"/>
      <c r="H45" s="31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46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47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48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EDATE('©'!A17,9)</f>
        <v>45017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APRIL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45019</v>
      </c>
      <c r="B5" s="51"/>
      <c r="C5" s="50">
        <f>C14</f>
        <v>45020</v>
      </c>
      <c r="D5" s="51"/>
      <c r="E5" s="50">
        <f>E14</f>
        <v>45021</v>
      </c>
      <c r="F5" s="51"/>
      <c r="G5" s="50">
        <f>G14</f>
        <v>45022</v>
      </c>
      <c r="H5" s="51"/>
      <c r="I5" s="50">
        <f>I14</f>
        <v>45023</v>
      </c>
      <c r="J5" s="51"/>
      <c r="K5" s="50">
        <f>K14</f>
        <v>45024</v>
      </c>
      <c r="L5" s="51"/>
      <c r="M5" s="50">
        <f>M14</f>
        <v>45025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45017</v>
      </c>
      <c r="L6" s="5"/>
      <c r="M6" s="4">
        <f>IF(K6="",IF(WEEKDAY($A$1,1)=MOD(startday+5,7)+1,$A$1,""),K6+1)</f>
        <v>45018</v>
      </c>
      <c r="N6" s="5"/>
    </row>
    <row r="7" spans="1:14" ht="14.1">
      <c r="A7" s="26"/>
      <c r="B7" s="22"/>
      <c r="C7" s="34"/>
      <c r="D7" s="22"/>
      <c r="E7" s="26"/>
      <c r="F7" s="22"/>
      <c r="G7" s="34" t="s">
        <v>11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25"/>
      <c r="B8" s="22"/>
      <c r="C8" s="24"/>
      <c r="D8" s="22"/>
      <c r="E8" s="25"/>
      <c r="F8" s="22"/>
      <c r="G8" s="24" t="s">
        <v>42</v>
      </c>
      <c r="H8" s="22"/>
      <c r="I8" s="24" t="s">
        <v>51</v>
      </c>
      <c r="J8" s="22"/>
      <c r="K8" s="24" t="s">
        <v>51</v>
      </c>
      <c r="L8" s="22"/>
      <c r="M8" s="24" t="s">
        <v>51</v>
      </c>
      <c r="N8" s="22"/>
    </row>
    <row r="9" spans="1:14" ht="14.1">
      <c r="A9" s="23"/>
      <c r="B9" s="22"/>
      <c r="C9" s="33"/>
      <c r="D9" s="22"/>
      <c r="E9" s="23"/>
      <c r="F9" s="22"/>
      <c r="G9" s="33" t="s">
        <v>9</v>
      </c>
      <c r="H9" s="22"/>
      <c r="I9" s="33" t="s">
        <v>14</v>
      </c>
      <c r="J9" s="22"/>
      <c r="K9" s="33" t="s">
        <v>13</v>
      </c>
      <c r="L9" s="22"/>
      <c r="M9" s="33" t="s">
        <v>13</v>
      </c>
      <c r="N9" s="22"/>
    </row>
    <row r="10" spans="1:14" ht="14.1">
      <c r="A10" s="21"/>
      <c r="B10" s="22"/>
      <c r="C10" s="27"/>
      <c r="D10" s="22"/>
      <c r="E10" s="21"/>
      <c r="F10" s="22"/>
      <c r="G10" s="27" t="s">
        <v>15</v>
      </c>
      <c r="H10" s="22"/>
      <c r="I10" s="27" t="s">
        <v>15</v>
      </c>
      <c r="J10" s="22"/>
      <c r="K10" s="27" t="s">
        <v>15</v>
      </c>
      <c r="L10" s="22"/>
      <c r="M10" s="27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28"/>
      <c r="D12" s="22"/>
      <c r="E12" s="29"/>
      <c r="F12" s="22"/>
      <c r="G12" s="28" t="s">
        <v>27</v>
      </c>
      <c r="H12" s="22"/>
      <c r="I12" s="28" t="s">
        <v>26</v>
      </c>
      <c r="J12" s="22"/>
      <c r="K12" s="28" t="s">
        <v>26</v>
      </c>
      <c r="L12" s="22"/>
      <c r="M12" s="28" t="s">
        <v>26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 t="s">
        <v>30</v>
      </c>
      <c r="H13" s="31"/>
      <c r="I13" s="32" t="s">
        <v>29</v>
      </c>
      <c r="J13" s="31"/>
      <c r="K13" s="32" t="s">
        <v>41</v>
      </c>
      <c r="L13" s="31"/>
      <c r="M13" s="32" t="s">
        <v>41</v>
      </c>
      <c r="N13" s="31"/>
    </row>
    <row r="14" spans="1:14" ht="18" customHeight="1">
      <c r="A14" s="2">
        <f>M6+1</f>
        <v>45019</v>
      </c>
      <c r="B14" s="3"/>
      <c r="C14" s="2">
        <f>A14+1</f>
        <v>45020</v>
      </c>
      <c r="D14" s="3"/>
      <c r="E14" s="2">
        <f>C14+1</f>
        <v>45021</v>
      </c>
      <c r="F14" s="3"/>
      <c r="G14" s="2">
        <f>E14+1</f>
        <v>45022</v>
      </c>
      <c r="H14" s="3"/>
      <c r="I14" s="2">
        <f>G14+1</f>
        <v>45023</v>
      </c>
      <c r="J14" s="3"/>
      <c r="K14" s="4">
        <f>I14+1</f>
        <v>45024</v>
      </c>
      <c r="L14" s="5"/>
      <c r="M14" s="4">
        <f>K14+1</f>
        <v>45025</v>
      </c>
      <c r="N14" s="5"/>
    </row>
    <row r="15" spans="1:14" ht="14.1">
      <c r="A15" s="26" t="s">
        <v>50</v>
      </c>
      <c r="B15" s="22"/>
      <c r="C15" s="26" t="s">
        <v>50</v>
      </c>
      <c r="D15" s="22"/>
      <c r="E15" s="26" t="s">
        <v>52</v>
      </c>
      <c r="F15" s="22"/>
      <c r="G15" s="26" t="s">
        <v>50</v>
      </c>
      <c r="H15" s="22"/>
      <c r="I15" s="34" t="s">
        <v>31</v>
      </c>
      <c r="J15" s="22"/>
      <c r="K15" s="34" t="s">
        <v>53</v>
      </c>
      <c r="L15" s="22"/>
      <c r="M15" s="34" t="s">
        <v>9</v>
      </c>
      <c r="N15" s="22"/>
    </row>
    <row r="16" spans="1:14" ht="14.1">
      <c r="A16" s="25" t="s">
        <v>51</v>
      </c>
      <c r="B16" s="22"/>
      <c r="C16" s="25" t="s">
        <v>51</v>
      </c>
      <c r="D16" s="22"/>
      <c r="E16" s="25" t="s">
        <v>51</v>
      </c>
      <c r="F16" s="22"/>
      <c r="G16" s="25" t="s">
        <v>51</v>
      </c>
      <c r="H16" s="22"/>
      <c r="I16" s="24" t="s">
        <v>54</v>
      </c>
      <c r="J16" s="22"/>
      <c r="K16" s="24" t="s">
        <v>54</v>
      </c>
      <c r="L16" s="22"/>
      <c r="M16" s="24" t="s">
        <v>54</v>
      </c>
      <c r="N16" s="22"/>
    </row>
    <row r="17" spans="1:14" ht="14.1">
      <c r="A17" s="23" t="s">
        <v>13</v>
      </c>
      <c r="B17" s="22"/>
      <c r="C17" s="23" t="s">
        <v>13</v>
      </c>
      <c r="D17" s="22"/>
      <c r="E17" s="23" t="s">
        <v>55</v>
      </c>
      <c r="F17" s="22"/>
      <c r="G17" s="23" t="s">
        <v>13</v>
      </c>
      <c r="H17" s="22"/>
      <c r="I17" s="23" t="s">
        <v>14</v>
      </c>
      <c r="J17" s="22"/>
      <c r="K17" s="33" t="s">
        <v>40</v>
      </c>
      <c r="L17" s="22"/>
      <c r="M17" s="33" t="s">
        <v>40</v>
      </c>
      <c r="N17" s="22"/>
    </row>
    <row r="18" spans="1:14" ht="14.1">
      <c r="A18" s="21" t="s">
        <v>24</v>
      </c>
      <c r="B18" s="22"/>
      <c r="C18" s="21" t="s">
        <v>24</v>
      </c>
      <c r="D18" s="22"/>
      <c r="E18" s="21" t="s">
        <v>24</v>
      </c>
      <c r="F18" s="22"/>
      <c r="G18" s="21" t="s">
        <v>24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27</v>
      </c>
      <c r="B20" s="22"/>
      <c r="C20" s="28" t="s">
        <v>27</v>
      </c>
      <c r="D20" s="22"/>
      <c r="E20" s="29" t="s">
        <v>27</v>
      </c>
      <c r="F20" s="22"/>
      <c r="G20" s="28" t="s">
        <v>27</v>
      </c>
      <c r="H20" s="22"/>
      <c r="I20" s="28" t="s">
        <v>26</v>
      </c>
      <c r="J20" s="22"/>
      <c r="K20" s="28" t="s">
        <v>26</v>
      </c>
      <c r="L20" s="22"/>
      <c r="M20" s="28" t="s">
        <v>26</v>
      </c>
      <c r="N20" s="22"/>
    </row>
    <row r="21" spans="1:14" ht="18" customHeight="1">
      <c r="A21" s="30" t="s">
        <v>30</v>
      </c>
      <c r="B21" s="22"/>
      <c r="C21" s="30" t="s">
        <v>30</v>
      </c>
      <c r="D21" s="22"/>
      <c r="E21" s="30" t="s">
        <v>30</v>
      </c>
      <c r="F21" s="22"/>
      <c r="G21" s="30" t="s">
        <v>30</v>
      </c>
      <c r="H21" s="22"/>
      <c r="I21" s="30" t="s">
        <v>56</v>
      </c>
      <c r="J21" s="22"/>
      <c r="K21" s="30" t="s">
        <v>57</v>
      </c>
      <c r="L21" s="22"/>
      <c r="M21" s="30" t="s">
        <v>58</v>
      </c>
      <c r="N21" s="22"/>
    </row>
    <row r="22" spans="1:14" ht="18" customHeight="1">
      <c r="A22" s="2">
        <f>M14+1</f>
        <v>45026</v>
      </c>
      <c r="B22" s="3"/>
      <c r="C22" s="2">
        <f>A22+1</f>
        <v>45027</v>
      </c>
      <c r="D22" s="3"/>
      <c r="E22" s="2">
        <f>C22+1</f>
        <v>45028</v>
      </c>
      <c r="F22" s="3"/>
      <c r="G22" s="2">
        <f>E22+1</f>
        <v>45029</v>
      </c>
      <c r="H22" s="3"/>
      <c r="I22" s="2">
        <f>G22+1</f>
        <v>45030</v>
      </c>
      <c r="J22" s="3"/>
      <c r="K22" s="4">
        <f>I22+1</f>
        <v>45031</v>
      </c>
      <c r="L22" s="5"/>
      <c r="M22" s="4">
        <f>K22+1</f>
        <v>45032</v>
      </c>
      <c r="N22" s="5"/>
    </row>
    <row r="23" spans="1:14" ht="14.1">
      <c r="A23" s="26" t="s">
        <v>45</v>
      </c>
      <c r="B23" s="22"/>
      <c r="C23" s="34" t="s">
        <v>9</v>
      </c>
      <c r="D23" s="22"/>
      <c r="E23" s="26" t="s">
        <v>9</v>
      </c>
      <c r="F23" s="22"/>
      <c r="G23" s="34" t="s">
        <v>9</v>
      </c>
      <c r="H23" s="22"/>
      <c r="I23" s="34" t="s">
        <v>24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25" t="s">
        <v>54</v>
      </c>
      <c r="B24" s="22"/>
      <c r="C24" s="24" t="s">
        <v>54</v>
      </c>
      <c r="D24" s="22"/>
      <c r="E24" s="24" t="s">
        <v>54</v>
      </c>
      <c r="F24" s="22"/>
      <c r="G24" s="24" t="s">
        <v>54</v>
      </c>
      <c r="H24" s="22"/>
      <c r="I24" s="24" t="s">
        <v>59</v>
      </c>
      <c r="J24" s="22"/>
      <c r="K24" s="24" t="s">
        <v>59</v>
      </c>
      <c r="L24" s="22"/>
      <c r="M24" s="24" t="s">
        <v>59</v>
      </c>
      <c r="N24" s="22"/>
    </row>
    <row r="25" spans="1:14" ht="14.1">
      <c r="A25" s="23" t="s">
        <v>39</v>
      </c>
      <c r="B25" s="22"/>
      <c r="C25" s="33" t="s">
        <v>11</v>
      </c>
      <c r="D25" s="22"/>
      <c r="E25" s="23" t="s">
        <v>39</v>
      </c>
      <c r="F25" s="22"/>
      <c r="G25" s="33" t="s">
        <v>40</v>
      </c>
      <c r="H25" s="22"/>
      <c r="I25" s="33" t="s">
        <v>40</v>
      </c>
      <c r="J25" s="22"/>
      <c r="K25" s="33" t="s">
        <v>60</v>
      </c>
      <c r="L25" s="22"/>
      <c r="M25" s="33" t="s">
        <v>60</v>
      </c>
      <c r="N25" s="22"/>
    </row>
    <row r="26" spans="1:14" ht="14.1">
      <c r="A26" s="21" t="s">
        <v>15</v>
      </c>
      <c r="B26" s="22"/>
      <c r="C26" s="21" t="s">
        <v>15</v>
      </c>
      <c r="D26" s="22"/>
      <c r="E26" s="21" t="s">
        <v>15</v>
      </c>
      <c r="F26" s="22"/>
      <c r="G26" s="21" t="s">
        <v>15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28" t="s">
        <v>27</v>
      </c>
      <c r="D28" s="22"/>
      <c r="E28" s="29" t="s">
        <v>28</v>
      </c>
      <c r="F28" s="22"/>
      <c r="G28" s="29" t="s">
        <v>17</v>
      </c>
      <c r="H28" s="22"/>
      <c r="I28" s="29" t="s">
        <v>28</v>
      </c>
      <c r="J28" s="22"/>
      <c r="K28" s="29" t="s">
        <v>36</v>
      </c>
      <c r="L28" s="22"/>
      <c r="M28" s="29" t="s">
        <v>36</v>
      </c>
      <c r="N28" s="22"/>
    </row>
    <row r="29" spans="1:14" ht="18" customHeight="1">
      <c r="A29" s="30" t="s">
        <v>50</v>
      </c>
      <c r="B29" s="22"/>
      <c r="C29" s="30" t="s">
        <v>50</v>
      </c>
      <c r="D29" s="22"/>
      <c r="E29" s="30" t="s">
        <v>50</v>
      </c>
      <c r="F29" s="22"/>
      <c r="G29" s="30" t="s">
        <v>61</v>
      </c>
      <c r="H29" s="22"/>
      <c r="I29" s="30" t="s">
        <v>50</v>
      </c>
      <c r="J29" s="22"/>
      <c r="K29" s="30" t="s">
        <v>50</v>
      </c>
      <c r="L29" s="22"/>
      <c r="M29" s="30" t="s">
        <v>50</v>
      </c>
      <c r="N29" s="22"/>
    </row>
    <row r="30" spans="1:14" ht="18" customHeight="1">
      <c r="A30" s="2">
        <f>M22+1</f>
        <v>45033</v>
      </c>
      <c r="B30" s="3"/>
      <c r="C30" s="2">
        <f>A30+1</f>
        <v>45034</v>
      </c>
      <c r="D30" s="3"/>
      <c r="E30" s="2">
        <f>C30+1</f>
        <v>45035</v>
      </c>
      <c r="F30" s="3"/>
      <c r="G30" s="2">
        <f>E30+1</f>
        <v>45036</v>
      </c>
      <c r="H30" s="3"/>
      <c r="I30" s="2">
        <f>G30+1</f>
        <v>45037</v>
      </c>
      <c r="J30" s="3"/>
      <c r="K30" s="4">
        <f>I30+1</f>
        <v>45038</v>
      </c>
      <c r="L30" s="5"/>
      <c r="M30" s="4">
        <f>K30+1</f>
        <v>45039</v>
      </c>
      <c r="N30" s="5"/>
    </row>
    <row r="31" spans="1:14" ht="14.1">
      <c r="A31" s="26" t="s">
        <v>24</v>
      </c>
      <c r="B31" s="22"/>
      <c r="C31" s="34" t="s">
        <v>24</v>
      </c>
      <c r="D31" s="22"/>
      <c r="E31" s="34" t="s">
        <v>24</v>
      </c>
      <c r="F31" s="22"/>
      <c r="G31" s="34" t="s">
        <v>24</v>
      </c>
      <c r="H31" s="22"/>
      <c r="I31" s="34" t="s">
        <v>24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25" t="s">
        <v>59</v>
      </c>
      <c r="B32" s="22"/>
      <c r="C32" s="25" t="s">
        <v>59</v>
      </c>
      <c r="D32" s="22"/>
      <c r="E32" s="25" t="s">
        <v>59</v>
      </c>
      <c r="F32" s="22"/>
      <c r="G32" s="25" t="s">
        <v>59</v>
      </c>
      <c r="H32" s="22"/>
      <c r="I32" s="24" t="s">
        <v>12</v>
      </c>
      <c r="J32" s="22"/>
      <c r="K32" s="24" t="s">
        <v>12</v>
      </c>
      <c r="L32" s="22"/>
      <c r="M32" s="24" t="s">
        <v>12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33" t="s">
        <v>62</v>
      </c>
      <c r="L33" s="22"/>
      <c r="M33" s="33" t="s">
        <v>62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17</v>
      </c>
      <c r="B36" s="22"/>
      <c r="C36" s="28" t="s">
        <v>17</v>
      </c>
      <c r="D36" s="22"/>
      <c r="E36" s="29" t="s">
        <v>17</v>
      </c>
      <c r="F36" s="22"/>
      <c r="G36" s="28" t="s">
        <v>27</v>
      </c>
      <c r="H36" s="22"/>
      <c r="I36" s="28" t="s">
        <v>26</v>
      </c>
      <c r="J36" s="22"/>
      <c r="K36" s="28" t="s">
        <v>26</v>
      </c>
      <c r="L36" s="22"/>
      <c r="M36" s="28" t="s">
        <v>26</v>
      </c>
      <c r="N36" s="22"/>
    </row>
    <row r="37" spans="1:14" ht="18" customHeight="1">
      <c r="A37" s="30" t="s">
        <v>63</v>
      </c>
      <c r="B37" s="22"/>
      <c r="C37" s="30" t="s">
        <v>63</v>
      </c>
      <c r="D37" s="22"/>
      <c r="E37" s="30" t="s">
        <v>63</v>
      </c>
      <c r="F37" s="22"/>
      <c r="G37" s="30" t="s">
        <v>50</v>
      </c>
      <c r="H37" s="22"/>
      <c r="I37" s="30" t="s">
        <v>64</v>
      </c>
      <c r="J37" s="22"/>
      <c r="K37" s="30" t="s">
        <v>58</v>
      </c>
      <c r="L37" s="22"/>
      <c r="M37" s="30" t="s">
        <v>58</v>
      </c>
      <c r="N37" s="22"/>
    </row>
    <row r="38" spans="1:14" ht="18" customHeight="1">
      <c r="A38" s="2">
        <f>IF(M30="","",IF(MONTH(M30+1)&lt;&gt;MONTH($A$1),"",M30+1))</f>
        <v>45040</v>
      </c>
      <c r="B38" s="3"/>
      <c r="C38" s="2">
        <f>IF(A38="","",IF(MONTH(A38+1)&lt;&gt;MONTH($A$1),"",A38+1))</f>
        <v>45041</v>
      </c>
      <c r="D38" s="3"/>
      <c r="E38" s="2">
        <f>IF(C38="","",IF(MONTH(C38+1)&lt;&gt;MONTH($A$1),"",C38+1))</f>
        <v>45042</v>
      </c>
      <c r="F38" s="3"/>
      <c r="G38" s="2">
        <f>IF(E38="","",IF(MONTH(E38+1)&lt;&gt;MONTH($A$1),"",E38+1))</f>
        <v>45043</v>
      </c>
      <c r="H38" s="3"/>
      <c r="I38" s="2">
        <f>IF(G38="","",IF(MONTH(G38+1)&lt;&gt;MONTH($A$1),"",G38+1))</f>
        <v>45044</v>
      </c>
      <c r="J38" s="3"/>
      <c r="K38" s="4">
        <f>IF(I38="","",IF(MONTH(I38+1)&lt;&gt;MONTH($A$1),"",I38+1))</f>
        <v>45045</v>
      </c>
      <c r="L38" s="5"/>
      <c r="M38" s="4">
        <f>IF(K38="","",IF(MONTH(K38+1)&lt;&gt;MONTH($A$1),"",K38+1))</f>
        <v>45046</v>
      </c>
      <c r="N38" s="5"/>
    </row>
    <row r="39" spans="1:14" ht="14.1">
      <c r="A39" s="26" t="s">
        <v>10</v>
      </c>
      <c r="B39" s="22"/>
      <c r="C39" s="26" t="s">
        <v>11</v>
      </c>
      <c r="D39" s="22"/>
      <c r="E39" s="26" t="s">
        <v>24</v>
      </c>
      <c r="F39" s="22"/>
      <c r="G39" s="26" t="s">
        <v>24</v>
      </c>
      <c r="H39" s="22"/>
      <c r="I39" s="34" t="s">
        <v>24</v>
      </c>
      <c r="J39" s="22"/>
      <c r="K39" s="34"/>
      <c r="L39" s="22"/>
      <c r="M39" s="34"/>
      <c r="N39" s="22"/>
    </row>
    <row r="40" spans="1:14" ht="14.1">
      <c r="A40" s="25" t="s">
        <v>12</v>
      </c>
      <c r="B40" s="22"/>
      <c r="C40" s="24" t="s">
        <v>12</v>
      </c>
      <c r="D40" s="22"/>
      <c r="E40" s="24" t="s">
        <v>12</v>
      </c>
      <c r="F40" s="22"/>
      <c r="G40" s="24" t="s">
        <v>12</v>
      </c>
      <c r="H40" s="22"/>
      <c r="I40" s="24" t="s">
        <v>38</v>
      </c>
      <c r="J40" s="22"/>
      <c r="K40" s="24"/>
      <c r="L40" s="22"/>
      <c r="M40" s="24"/>
      <c r="N40" s="22"/>
    </row>
    <row r="41" spans="1:14" ht="14.1">
      <c r="A41" s="23" t="s">
        <v>53</v>
      </c>
      <c r="B41" s="22"/>
      <c r="C41" s="33" t="s">
        <v>9</v>
      </c>
      <c r="D41" s="22"/>
      <c r="E41" s="23" t="s">
        <v>9</v>
      </c>
      <c r="F41" s="22"/>
      <c r="G41" s="33" t="s">
        <v>9</v>
      </c>
      <c r="H41" s="22"/>
      <c r="I41" s="33" t="s">
        <v>9</v>
      </c>
      <c r="J41" s="22"/>
      <c r="K41" s="33"/>
      <c r="L41" s="22"/>
      <c r="M41" s="33"/>
      <c r="N41" s="22"/>
    </row>
    <row r="42" spans="1:14" ht="14.1">
      <c r="A42" s="21" t="s">
        <v>15</v>
      </c>
      <c r="B42" s="22"/>
      <c r="C42" s="21" t="s">
        <v>15</v>
      </c>
      <c r="D42" s="22"/>
      <c r="E42" s="21" t="s">
        <v>15</v>
      </c>
      <c r="F42" s="22"/>
      <c r="G42" s="21" t="s">
        <v>15</v>
      </c>
      <c r="H42" s="22"/>
      <c r="I42" s="27" t="s">
        <v>24</v>
      </c>
      <c r="J42" s="22"/>
      <c r="K42" s="27"/>
      <c r="L42" s="22"/>
      <c r="M42" s="27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59" t="s">
        <v>25</v>
      </c>
      <c r="J43" s="22"/>
      <c r="K43" s="60"/>
      <c r="L43" s="22"/>
      <c r="M43" s="60"/>
      <c r="N43" s="22"/>
    </row>
    <row r="44" spans="1:14" ht="14.1">
      <c r="A44" s="29" t="s">
        <v>17</v>
      </c>
      <c r="B44" s="22"/>
      <c r="C44" s="29" t="s">
        <v>17</v>
      </c>
      <c r="D44" s="22"/>
      <c r="E44" s="29" t="s">
        <v>28</v>
      </c>
      <c r="F44" s="22"/>
      <c r="G44" s="29" t="s">
        <v>17</v>
      </c>
      <c r="H44" s="22"/>
      <c r="I44" s="29" t="s">
        <v>28</v>
      </c>
      <c r="J44" s="22"/>
      <c r="K44" s="28"/>
      <c r="L44" s="22"/>
      <c r="M44" s="28"/>
      <c r="N44" s="22"/>
    </row>
    <row r="45" spans="1:14" ht="18" customHeight="1">
      <c r="A45" s="30" t="s">
        <v>29</v>
      </c>
      <c r="B45" s="22"/>
      <c r="C45" s="30" t="s">
        <v>29</v>
      </c>
      <c r="D45" s="22"/>
      <c r="E45" s="30" t="s">
        <v>30</v>
      </c>
      <c r="F45" s="22"/>
      <c r="G45" s="30" t="s">
        <v>29</v>
      </c>
      <c r="H45" s="22"/>
      <c r="I45" s="30" t="s">
        <v>30</v>
      </c>
      <c r="J45" s="22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65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66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67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EDATE('©'!A17,10)</f>
        <v>45047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MAY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45054</v>
      </c>
      <c r="B5" s="51"/>
      <c r="C5" s="50">
        <f>C14</f>
        <v>45055</v>
      </c>
      <c r="D5" s="51"/>
      <c r="E5" s="50">
        <f>E14</f>
        <v>45056</v>
      </c>
      <c r="F5" s="51"/>
      <c r="G5" s="50">
        <f>G14</f>
        <v>45057</v>
      </c>
      <c r="H5" s="51"/>
      <c r="I5" s="50">
        <f>I14</f>
        <v>45058</v>
      </c>
      <c r="J5" s="51"/>
      <c r="K5" s="50">
        <f>K14</f>
        <v>45059</v>
      </c>
      <c r="L5" s="51"/>
      <c r="M5" s="50">
        <f>M14</f>
        <v>45060</v>
      </c>
      <c r="N5" s="51"/>
    </row>
    <row r="6" spans="1:14" ht="18" customHeight="1">
      <c r="A6" s="2">
        <f>IF(WEEKDAY($A$1,1)=startday,$A$1,"")</f>
        <v>45047</v>
      </c>
      <c r="B6" s="3"/>
      <c r="C6" s="2">
        <f>IF(A6="",IF(WEEKDAY($A$1,1)=MOD(startday,7)+1,$A$1,""),A6+1)</f>
        <v>45048</v>
      </c>
      <c r="D6" s="3"/>
      <c r="E6" s="2">
        <f>IF(C6="",IF(WEEKDAY($A$1,1)=MOD(startday,7)+2,$A$1,""),C6+1)</f>
        <v>45049</v>
      </c>
      <c r="F6" s="3"/>
      <c r="G6" s="2">
        <f>IF(E6="",IF(WEEKDAY($A$1,1)=MOD(startday,7)+3,$A$1,""),E6+1)</f>
        <v>45050</v>
      </c>
      <c r="H6" s="3"/>
      <c r="I6" s="2">
        <f>IF(G6="",IF(WEEKDAY($A$1,1)=MOD(startday,7)+4,$A$1,""),G6+1)</f>
        <v>45051</v>
      </c>
      <c r="J6" s="3"/>
      <c r="K6" s="4">
        <f>IF(I6="",IF(WEEKDAY($A$1,1)=MOD(startday,7)+5,$A$1,""),I6+1)</f>
        <v>45052</v>
      </c>
      <c r="L6" s="5"/>
      <c r="M6" s="4">
        <f>IF(K6="",IF(WEEKDAY($A$1,1)=MOD(startday+5,7)+1,$A$1,""),K6+1)</f>
        <v>45053</v>
      </c>
      <c r="N6" s="5"/>
    </row>
    <row r="7" spans="1:14" ht="14.1">
      <c r="A7" s="26"/>
      <c r="B7" s="22"/>
      <c r="C7" s="34"/>
      <c r="D7" s="22"/>
      <c r="E7" s="26"/>
      <c r="F7" s="22"/>
      <c r="G7" s="34"/>
      <c r="H7" s="22"/>
      <c r="I7" s="34"/>
      <c r="J7" s="22"/>
      <c r="K7" s="34" t="s">
        <v>24</v>
      </c>
      <c r="L7" s="22"/>
      <c r="M7" s="34" t="s">
        <v>24</v>
      </c>
      <c r="N7" s="22"/>
    </row>
    <row r="8" spans="1:14" ht="14.1">
      <c r="A8" s="25"/>
      <c r="B8" s="22"/>
      <c r="C8" s="24"/>
      <c r="D8" s="22"/>
      <c r="E8" s="25"/>
      <c r="F8" s="22"/>
      <c r="G8" s="24"/>
      <c r="H8" s="22"/>
      <c r="I8" s="24"/>
      <c r="J8" s="22"/>
      <c r="K8" s="24" t="s">
        <v>38</v>
      </c>
      <c r="L8" s="22"/>
      <c r="M8" s="24" t="s">
        <v>38</v>
      </c>
      <c r="N8" s="22"/>
    </row>
    <row r="9" spans="1:14" ht="14.1">
      <c r="A9" s="23"/>
      <c r="B9" s="22"/>
      <c r="C9" s="33"/>
      <c r="D9" s="22"/>
      <c r="E9" s="23"/>
      <c r="F9" s="22"/>
      <c r="G9" s="33"/>
      <c r="H9" s="22"/>
      <c r="I9" s="33"/>
      <c r="J9" s="22"/>
      <c r="K9" s="33" t="s">
        <v>40</v>
      </c>
      <c r="L9" s="22"/>
      <c r="M9" s="33" t="s">
        <v>40</v>
      </c>
      <c r="N9" s="22"/>
    </row>
    <row r="10" spans="1:14" ht="14.1">
      <c r="A10" s="21"/>
      <c r="B10" s="22"/>
      <c r="C10" s="27"/>
      <c r="D10" s="22"/>
      <c r="E10" s="21"/>
      <c r="F10" s="22"/>
      <c r="G10" s="27"/>
      <c r="H10" s="22"/>
      <c r="I10" s="27"/>
      <c r="J10" s="22"/>
      <c r="K10" s="27" t="s">
        <v>24</v>
      </c>
      <c r="L10" s="22"/>
      <c r="M10" s="27" t="s">
        <v>24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 t="s">
        <v>36</v>
      </c>
      <c r="L12" s="22"/>
      <c r="M12" s="28" t="s">
        <v>70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/>
      <c r="H13" s="31"/>
      <c r="I13" s="32"/>
      <c r="J13" s="31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45054</v>
      </c>
      <c r="B14" s="3"/>
      <c r="C14" s="2">
        <f>A14+1</f>
        <v>45055</v>
      </c>
      <c r="D14" s="3"/>
      <c r="E14" s="2">
        <f>C14+1</f>
        <v>45056</v>
      </c>
      <c r="F14" s="3"/>
      <c r="G14" s="2">
        <f>E14+1</f>
        <v>45057</v>
      </c>
      <c r="H14" s="3"/>
      <c r="I14" s="2">
        <f>G14+1</f>
        <v>45058</v>
      </c>
      <c r="J14" s="3"/>
      <c r="K14" s="4">
        <f>I14+1</f>
        <v>45059</v>
      </c>
      <c r="L14" s="5"/>
      <c r="M14" s="4">
        <f>K14+1</f>
        <v>45060</v>
      </c>
      <c r="N14" s="5"/>
    </row>
    <row r="15" spans="1:14" ht="14.1">
      <c r="A15" s="34" t="s">
        <v>24</v>
      </c>
      <c r="B15" s="22"/>
      <c r="C15" s="34" t="s">
        <v>24</v>
      </c>
      <c r="D15" s="22"/>
      <c r="E15" s="34" t="s">
        <v>24</v>
      </c>
      <c r="F15" s="22"/>
      <c r="G15" s="34" t="s">
        <v>24</v>
      </c>
      <c r="H15" s="22"/>
      <c r="I15" s="34" t="s">
        <v>31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24" t="s">
        <v>38</v>
      </c>
      <c r="B16" s="22"/>
      <c r="C16" s="24" t="s">
        <v>38</v>
      </c>
      <c r="D16" s="22"/>
      <c r="E16" s="24" t="s">
        <v>38</v>
      </c>
      <c r="F16" s="22"/>
      <c r="G16" s="24" t="s">
        <v>38</v>
      </c>
      <c r="H16" s="22"/>
      <c r="I16" s="24" t="s">
        <v>16</v>
      </c>
      <c r="J16" s="22"/>
      <c r="K16" s="24" t="s">
        <v>16</v>
      </c>
      <c r="L16" s="22"/>
      <c r="M16" s="24" t="s">
        <v>16</v>
      </c>
      <c r="N16" s="22"/>
    </row>
    <row r="17" spans="1:14" ht="14.1">
      <c r="A17" s="33" t="s">
        <v>13</v>
      </c>
      <c r="B17" s="22"/>
      <c r="C17" s="33" t="s">
        <v>13</v>
      </c>
      <c r="D17" s="22"/>
      <c r="E17" s="33" t="s">
        <v>13</v>
      </c>
      <c r="F17" s="22"/>
      <c r="G17" s="33" t="s">
        <v>13</v>
      </c>
      <c r="H17" s="22"/>
      <c r="I17" s="33" t="s">
        <v>13</v>
      </c>
      <c r="J17" s="22"/>
      <c r="K17" s="33" t="s">
        <v>55</v>
      </c>
      <c r="L17" s="22"/>
      <c r="M17" s="33" t="s">
        <v>55</v>
      </c>
      <c r="N17" s="22"/>
    </row>
    <row r="18" spans="1:14" ht="14.1">
      <c r="A18" s="27" t="s">
        <v>24</v>
      </c>
      <c r="B18" s="22"/>
      <c r="C18" s="27" t="s">
        <v>24</v>
      </c>
      <c r="D18" s="22"/>
      <c r="E18" s="27" t="s">
        <v>24</v>
      </c>
      <c r="F18" s="22"/>
      <c r="G18" s="27" t="s">
        <v>15</v>
      </c>
      <c r="H18" s="22"/>
      <c r="I18" s="27" t="s">
        <v>15</v>
      </c>
      <c r="J18" s="22"/>
      <c r="K18" s="27" t="s">
        <v>15</v>
      </c>
      <c r="L18" s="22"/>
      <c r="M18" s="27" t="s">
        <v>15</v>
      </c>
      <c r="N18" s="22"/>
    </row>
    <row r="19" spans="1:14" ht="14.1">
      <c r="A19" s="60" t="s">
        <v>25</v>
      </c>
      <c r="B19" s="22"/>
      <c r="C19" s="60" t="s">
        <v>25</v>
      </c>
      <c r="D19" s="22"/>
      <c r="E19" s="60" t="s">
        <v>25</v>
      </c>
      <c r="F19" s="22"/>
      <c r="G19" s="60" t="s">
        <v>25</v>
      </c>
      <c r="H19" s="22"/>
      <c r="I19" s="60" t="s">
        <v>25</v>
      </c>
      <c r="J19" s="22"/>
      <c r="K19" s="60" t="s">
        <v>25</v>
      </c>
      <c r="L19" s="22"/>
      <c r="M19" s="60" t="s">
        <v>25</v>
      </c>
      <c r="N19" s="22"/>
    </row>
    <row r="20" spans="1:14" ht="14.1">
      <c r="A20" s="29" t="s">
        <v>27</v>
      </c>
      <c r="B20" s="22"/>
      <c r="C20" s="28" t="s">
        <v>27</v>
      </c>
      <c r="D20" s="22"/>
      <c r="E20" s="29" t="s">
        <v>28</v>
      </c>
      <c r="F20" s="22"/>
      <c r="G20" s="28" t="s">
        <v>27</v>
      </c>
      <c r="H20" s="22"/>
      <c r="I20" s="28" t="s">
        <v>71</v>
      </c>
      <c r="J20" s="22"/>
      <c r="K20" s="28" t="s">
        <v>26</v>
      </c>
      <c r="L20" s="22"/>
      <c r="M20" s="28" t="s">
        <v>26</v>
      </c>
      <c r="N20" s="22"/>
    </row>
    <row r="21" spans="1:14" ht="18" customHeight="1">
      <c r="A21" s="30" t="s">
        <v>50</v>
      </c>
      <c r="B21" s="22"/>
      <c r="C21" s="30" t="s">
        <v>50</v>
      </c>
      <c r="D21" s="22"/>
      <c r="E21" s="30" t="s">
        <v>50</v>
      </c>
      <c r="F21" s="22"/>
      <c r="G21" s="30" t="s">
        <v>50</v>
      </c>
      <c r="H21" s="22"/>
      <c r="I21" s="30" t="s">
        <v>72</v>
      </c>
      <c r="J21" s="22"/>
      <c r="K21" s="30" t="s">
        <v>73</v>
      </c>
      <c r="L21" s="22"/>
      <c r="M21" s="30" t="s">
        <v>73</v>
      </c>
      <c r="N21" s="22"/>
    </row>
    <row r="22" spans="1:14" ht="18" customHeight="1">
      <c r="A22" s="2">
        <f>M14+1</f>
        <v>45061</v>
      </c>
      <c r="B22" s="3"/>
      <c r="C22" s="2">
        <f>A22+1</f>
        <v>45062</v>
      </c>
      <c r="D22" s="3"/>
      <c r="E22" s="2">
        <f>C22+1</f>
        <v>45063</v>
      </c>
      <c r="F22" s="3"/>
      <c r="G22" s="2">
        <f>E22+1</f>
        <v>45064</v>
      </c>
      <c r="H22" s="3"/>
      <c r="I22" s="2">
        <f>G22+1</f>
        <v>45065</v>
      </c>
      <c r="J22" s="3"/>
      <c r="K22" s="4">
        <f>I22+1</f>
        <v>45066</v>
      </c>
      <c r="L22" s="5"/>
      <c r="M22" s="4">
        <f>K22+1</f>
        <v>45067</v>
      </c>
      <c r="N22" s="5"/>
    </row>
    <row r="23" spans="1:14" ht="14.1">
      <c r="A23" s="26" t="s">
        <v>53</v>
      </c>
      <c r="B23" s="22"/>
      <c r="C23" s="26" t="s">
        <v>9</v>
      </c>
      <c r="D23" s="22"/>
      <c r="E23" s="26" t="s">
        <v>45</v>
      </c>
      <c r="F23" s="22"/>
      <c r="G23" s="26" t="s">
        <v>9</v>
      </c>
      <c r="H23" s="22"/>
      <c r="I23" s="34" t="s">
        <v>39</v>
      </c>
      <c r="J23" s="22"/>
      <c r="K23" s="34" t="s">
        <v>11</v>
      </c>
      <c r="L23" s="22"/>
      <c r="M23" s="34" t="s">
        <v>11</v>
      </c>
      <c r="N23" s="22"/>
    </row>
    <row r="24" spans="1:14" ht="14.1">
      <c r="A24" s="25" t="s">
        <v>16</v>
      </c>
      <c r="B24" s="22"/>
      <c r="C24" s="25" t="s">
        <v>16</v>
      </c>
      <c r="D24" s="22"/>
      <c r="E24" s="25" t="s">
        <v>16</v>
      </c>
      <c r="F24" s="22"/>
      <c r="G24" s="25" t="s">
        <v>16</v>
      </c>
      <c r="H24" s="22"/>
      <c r="I24" s="24" t="s">
        <v>59</v>
      </c>
      <c r="J24" s="22"/>
      <c r="K24" s="24" t="s">
        <v>59</v>
      </c>
      <c r="L24" s="22"/>
      <c r="M24" s="24" t="s">
        <v>59</v>
      </c>
      <c r="N24" s="22"/>
    </row>
    <row r="25" spans="1:14" ht="14.1">
      <c r="A25" s="23" t="s">
        <v>11</v>
      </c>
      <c r="B25" s="22"/>
      <c r="C25" s="33" t="s">
        <v>11</v>
      </c>
      <c r="D25" s="22"/>
      <c r="E25" s="23" t="s">
        <v>11</v>
      </c>
      <c r="F25" s="22"/>
      <c r="G25" s="33" t="s">
        <v>11</v>
      </c>
      <c r="H25" s="22"/>
      <c r="I25" s="33" t="s">
        <v>9</v>
      </c>
      <c r="J25" s="22"/>
      <c r="K25" s="33" t="s">
        <v>62</v>
      </c>
      <c r="L25" s="22"/>
      <c r="M25" s="33" t="s">
        <v>62</v>
      </c>
      <c r="N25" s="22"/>
    </row>
    <row r="26" spans="1:14" ht="14.1">
      <c r="A26" s="21" t="s">
        <v>24</v>
      </c>
      <c r="B26" s="22"/>
      <c r="C26" s="21" t="s">
        <v>24</v>
      </c>
      <c r="D26" s="22"/>
      <c r="E26" s="21" t="s">
        <v>24</v>
      </c>
      <c r="F26" s="22"/>
      <c r="G26" s="21" t="s">
        <v>24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28" t="s">
        <v>27</v>
      </c>
      <c r="D28" s="22"/>
      <c r="E28" s="29" t="s">
        <v>28</v>
      </c>
      <c r="F28" s="22"/>
      <c r="G28" s="28" t="s">
        <v>17</v>
      </c>
      <c r="H28" s="22"/>
      <c r="I28" s="28" t="s">
        <v>17</v>
      </c>
      <c r="J28" s="22"/>
      <c r="K28" s="28" t="s">
        <v>17</v>
      </c>
      <c r="L28" s="22"/>
      <c r="M28" s="28" t="s">
        <v>17</v>
      </c>
      <c r="N28" s="22"/>
    </row>
    <row r="29" spans="1:14" ht="18" customHeight="1">
      <c r="A29" s="30" t="s">
        <v>50</v>
      </c>
      <c r="B29" s="22"/>
      <c r="C29" s="30" t="s">
        <v>50</v>
      </c>
      <c r="D29" s="22"/>
      <c r="E29" s="30" t="s">
        <v>50</v>
      </c>
      <c r="F29" s="22"/>
      <c r="G29" s="30" t="s">
        <v>63</v>
      </c>
      <c r="H29" s="22"/>
      <c r="I29" s="30" t="s">
        <v>63</v>
      </c>
      <c r="J29" s="22"/>
      <c r="K29" s="30" t="s">
        <v>74</v>
      </c>
      <c r="L29" s="22"/>
      <c r="M29" s="30" t="s">
        <v>74</v>
      </c>
      <c r="N29" s="22"/>
    </row>
    <row r="30" spans="1:14" ht="18" customHeight="1">
      <c r="A30" s="2">
        <f>M22+1</f>
        <v>45068</v>
      </c>
      <c r="B30" s="3"/>
      <c r="C30" s="2">
        <f>A30+1</f>
        <v>45069</v>
      </c>
      <c r="D30" s="3"/>
      <c r="E30" s="2">
        <f>C30+1</f>
        <v>45070</v>
      </c>
      <c r="F30" s="3"/>
      <c r="G30" s="2">
        <f>E30+1</f>
        <v>45071</v>
      </c>
      <c r="H30" s="3"/>
      <c r="I30" s="2">
        <f>G30+1</f>
        <v>45072</v>
      </c>
      <c r="J30" s="3"/>
      <c r="K30" s="4">
        <f>I30+1</f>
        <v>45073</v>
      </c>
      <c r="L30" s="5"/>
      <c r="M30" s="4">
        <f>K30+1</f>
        <v>45074</v>
      </c>
      <c r="N30" s="5"/>
    </row>
    <row r="31" spans="1:14" ht="14.1">
      <c r="A31" s="26" t="s">
        <v>39</v>
      </c>
      <c r="B31" s="22"/>
      <c r="C31" s="34" t="s">
        <v>11</v>
      </c>
      <c r="D31" s="22"/>
      <c r="E31" s="26" t="s">
        <v>75</v>
      </c>
      <c r="F31" s="22"/>
      <c r="G31" s="34" t="s">
        <v>11</v>
      </c>
      <c r="H31" s="22"/>
      <c r="I31" s="34" t="s">
        <v>49</v>
      </c>
      <c r="J31" s="22"/>
      <c r="K31" s="34" t="s">
        <v>50</v>
      </c>
      <c r="L31" s="22"/>
      <c r="M31" s="34" t="s">
        <v>50</v>
      </c>
      <c r="N31" s="22"/>
    </row>
    <row r="32" spans="1:14" ht="14.1">
      <c r="A32" s="25" t="s">
        <v>59</v>
      </c>
      <c r="B32" s="22"/>
      <c r="C32" s="25" t="s">
        <v>59</v>
      </c>
      <c r="D32" s="22"/>
      <c r="E32" s="25" t="s">
        <v>59</v>
      </c>
      <c r="F32" s="22"/>
      <c r="G32" s="25" t="s">
        <v>59</v>
      </c>
      <c r="H32" s="22"/>
      <c r="I32" s="24" t="s">
        <v>51</v>
      </c>
      <c r="J32" s="22"/>
      <c r="K32" s="24" t="s">
        <v>51</v>
      </c>
      <c r="L32" s="22"/>
      <c r="M32" s="24" t="s">
        <v>51</v>
      </c>
      <c r="N32" s="22"/>
    </row>
    <row r="33" spans="1:14" ht="14.1">
      <c r="A33" s="23" t="s">
        <v>9</v>
      </c>
      <c r="B33" s="22"/>
      <c r="C33" s="33" t="s">
        <v>9</v>
      </c>
      <c r="D33" s="22"/>
      <c r="E33" s="23" t="s">
        <v>31</v>
      </c>
      <c r="F33" s="22"/>
      <c r="G33" s="33" t="s">
        <v>9</v>
      </c>
      <c r="H33" s="22"/>
      <c r="I33" s="33" t="s">
        <v>31</v>
      </c>
      <c r="J33" s="22"/>
      <c r="K33" s="33" t="s">
        <v>76</v>
      </c>
      <c r="L33" s="22"/>
      <c r="M33" s="33" t="s">
        <v>76</v>
      </c>
      <c r="N33" s="22"/>
    </row>
    <row r="34" spans="1:14" ht="14.1">
      <c r="A34" s="21" t="s">
        <v>15</v>
      </c>
      <c r="B34" s="22"/>
      <c r="C34" s="27" t="s">
        <v>15</v>
      </c>
      <c r="D34" s="22"/>
      <c r="E34" s="21" t="s">
        <v>15</v>
      </c>
      <c r="F34" s="22"/>
      <c r="G34" s="21" t="s">
        <v>15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28" t="s">
        <v>27</v>
      </c>
      <c r="D36" s="22"/>
      <c r="E36" s="29" t="s">
        <v>71</v>
      </c>
      <c r="F36" s="22"/>
      <c r="G36" s="28" t="s">
        <v>26</v>
      </c>
      <c r="H36" s="22"/>
      <c r="I36" s="28" t="s">
        <v>27</v>
      </c>
      <c r="J36" s="22"/>
      <c r="K36" s="28" t="s">
        <v>19</v>
      </c>
      <c r="L36" s="22"/>
      <c r="M36" s="28" t="s">
        <v>19</v>
      </c>
      <c r="N36" s="22"/>
    </row>
    <row r="37" spans="1:14" ht="18" customHeight="1">
      <c r="A37" s="30" t="s">
        <v>30</v>
      </c>
      <c r="B37" s="22"/>
      <c r="C37" s="30" t="s">
        <v>30</v>
      </c>
      <c r="D37" s="22"/>
      <c r="E37" s="30" t="s">
        <v>29</v>
      </c>
      <c r="F37" s="22"/>
      <c r="G37" s="30" t="s">
        <v>29</v>
      </c>
      <c r="H37" s="22"/>
      <c r="I37" s="30" t="s">
        <v>77</v>
      </c>
      <c r="J37" s="22"/>
      <c r="K37" s="30" t="s">
        <v>77</v>
      </c>
      <c r="L37" s="22"/>
      <c r="M37" s="30" t="s">
        <v>30</v>
      </c>
      <c r="N37" s="22"/>
    </row>
    <row r="38" spans="1:14" ht="18" customHeight="1">
      <c r="A38" s="2">
        <f>IF(M30="","",IF(MONTH(M30+1)&lt;&gt;MONTH($A$1),"",M30+1))</f>
        <v>45075</v>
      </c>
      <c r="B38" s="3"/>
      <c r="C38" s="2">
        <f>IF(A38="","",IF(MONTH(A38+1)&lt;&gt;MONTH($A$1),"",A38+1))</f>
        <v>45076</v>
      </c>
      <c r="D38" s="3"/>
      <c r="E38" s="2">
        <f>IF(C38="","",IF(MONTH(C38+1)&lt;&gt;MONTH($A$1),"",C38+1))</f>
        <v>45077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52</v>
      </c>
      <c r="B39" s="22"/>
      <c r="C39" s="34" t="s">
        <v>50</v>
      </c>
      <c r="D39" s="22"/>
      <c r="E39" s="26" t="s">
        <v>78</v>
      </c>
      <c r="F39" s="22"/>
      <c r="G39" s="34" t="s">
        <v>50</v>
      </c>
      <c r="H39" s="22"/>
      <c r="I39" s="34" t="s">
        <v>31</v>
      </c>
      <c r="J39" s="22"/>
      <c r="K39" s="34" t="s">
        <v>9</v>
      </c>
      <c r="L39" s="22"/>
      <c r="M39" s="34" t="s">
        <v>9</v>
      </c>
      <c r="N39" s="22"/>
    </row>
    <row r="40" spans="1:14" ht="14.1">
      <c r="A40" s="25" t="s">
        <v>51</v>
      </c>
      <c r="B40" s="22"/>
      <c r="C40" s="24" t="s">
        <v>51</v>
      </c>
      <c r="D40" s="22"/>
      <c r="E40" s="24" t="s">
        <v>51</v>
      </c>
      <c r="F40" s="22"/>
      <c r="G40" s="24" t="s">
        <v>51</v>
      </c>
      <c r="H40" s="22"/>
      <c r="I40" s="24" t="s">
        <v>25</v>
      </c>
      <c r="J40" s="22"/>
      <c r="K40" s="24" t="s">
        <v>25</v>
      </c>
      <c r="L40" s="22"/>
      <c r="M40" s="24" t="s">
        <v>25</v>
      </c>
      <c r="N40" s="22"/>
    </row>
    <row r="41" spans="1:14" ht="14.1">
      <c r="A41" s="23" t="s">
        <v>9</v>
      </c>
      <c r="B41" s="22"/>
      <c r="C41" s="33" t="s">
        <v>9</v>
      </c>
      <c r="D41" s="22"/>
      <c r="E41" s="23" t="s">
        <v>53</v>
      </c>
      <c r="F41" s="22"/>
      <c r="G41" s="33" t="s">
        <v>9</v>
      </c>
      <c r="H41" s="22"/>
      <c r="I41" s="33" t="s">
        <v>75</v>
      </c>
      <c r="J41" s="22"/>
      <c r="K41" s="33" t="s">
        <v>39</v>
      </c>
      <c r="L41" s="22"/>
      <c r="M41" s="33" t="s">
        <v>39</v>
      </c>
      <c r="N41" s="22"/>
    </row>
    <row r="42" spans="1:14" ht="14.1">
      <c r="A42" s="21" t="s">
        <v>24</v>
      </c>
      <c r="B42" s="22"/>
      <c r="C42" s="21" t="s">
        <v>24</v>
      </c>
      <c r="D42" s="22"/>
      <c r="E42" s="21" t="s">
        <v>24</v>
      </c>
      <c r="F42" s="22"/>
      <c r="G42" s="21" t="s">
        <v>24</v>
      </c>
      <c r="H42" s="22"/>
      <c r="I42" s="27" t="s">
        <v>15</v>
      </c>
      <c r="J42" s="22"/>
      <c r="K42" s="27" t="s">
        <v>15</v>
      </c>
      <c r="L42" s="22"/>
      <c r="M42" s="27" t="s">
        <v>15</v>
      </c>
      <c r="N42" s="22"/>
    </row>
    <row r="43" spans="1:14" ht="14.1">
      <c r="A43" s="59" t="s">
        <v>13</v>
      </c>
      <c r="B43" s="22"/>
      <c r="C43" s="59" t="s">
        <v>13</v>
      </c>
      <c r="D43" s="22"/>
      <c r="E43" s="59" t="s">
        <v>13</v>
      </c>
      <c r="F43" s="22"/>
      <c r="G43" s="59" t="s">
        <v>13</v>
      </c>
      <c r="H43" s="22"/>
      <c r="I43" s="59" t="s">
        <v>13</v>
      </c>
      <c r="J43" s="22"/>
      <c r="K43" s="59" t="s">
        <v>13</v>
      </c>
      <c r="L43" s="22"/>
      <c r="M43" s="59" t="s">
        <v>13</v>
      </c>
      <c r="N43" s="22"/>
    </row>
    <row r="44" spans="1:14" ht="14.1">
      <c r="A44" s="29" t="s">
        <v>28</v>
      </c>
      <c r="B44" s="22"/>
      <c r="C44" s="28" t="s">
        <v>17</v>
      </c>
      <c r="D44" s="22"/>
      <c r="E44" s="29" t="s">
        <v>28</v>
      </c>
      <c r="F44" s="22"/>
      <c r="G44" s="28" t="s">
        <v>17</v>
      </c>
      <c r="H44" s="22"/>
      <c r="I44" s="28" t="s">
        <v>17</v>
      </c>
      <c r="J44" s="22"/>
      <c r="K44" s="28" t="s">
        <v>17</v>
      </c>
      <c r="L44" s="22"/>
      <c r="M44" s="28" t="s">
        <v>17</v>
      </c>
      <c r="N44" s="22"/>
    </row>
    <row r="45" spans="1:14" ht="18" customHeight="1">
      <c r="A45" s="30" t="s">
        <v>30</v>
      </c>
      <c r="B45" s="22"/>
      <c r="C45" s="30" t="s">
        <v>29</v>
      </c>
      <c r="D45" s="22"/>
      <c r="E45" s="30" t="s">
        <v>30</v>
      </c>
      <c r="F45" s="22"/>
      <c r="G45" s="30" t="s">
        <v>29</v>
      </c>
      <c r="H45" s="22"/>
      <c r="I45" s="30" t="s">
        <v>29</v>
      </c>
      <c r="J45" s="22"/>
      <c r="K45" s="30" t="s">
        <v>41</v>
      </c>
      <c r="L45" s="22"/>
      <c r="M45" s="30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 t="s">
        <v>9</v>
      </c>
      <c r="B47" s="22"/>
      <c r="C47" s="34"/>
      <c r="D47" s="22"/>
      <c r="E47" s="35" t="s">
        <v>79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 t="s">
        <v>25</v>
      </c>
      <c r="B48" s="22"/>
      <c r="C48" s="24"/>
      <c r="D48" s="22"/>
      <c r="E48" s="35" t="s">
        <v>80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 t="s">
        <v>13</v>
      </c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 t="s">
        <v>15</v>
      </c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25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27</v>
      </c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 t="s">
        <v>50</v>
      </c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EDATE('©'!A17,11)</f>
        <v>45078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JUNE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45082</v>
      </c>
      <c r="B5" s="51"/>
      <c r="C5" s="50">
        <f>C14</f>
        <v>45083</v>
      </c>
      <c r="D5" s="51"/>
      <c r="E5" s="50">
        <f>E14</f>
        <v>45084</v>
      </c>
      <c r="F5" s="51"/>
      <c r="G5" s="50">
        <f>G14</f>
        <v>45085</v>
      </c>
      <c r="H5" s="51"/>
      <c r="I5" s="50">
        <f>I14</f>
        <v>45086</v>
      </c>
      <c r="J5" s="51"/>
      <c r="K5" s="50">
        <f>K14</f>
        <v>45087</v>
      </c>
      <c r="L5" s="51"/>
      <c r="M5" s="50">
        <f>M14</f>
        <v>45088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45078</v>
      </c>
      <c r="H6" s="3"/>
      <c r="I6" s="2">
        <f>IF(G6="",IF(WEEKDAY($A$1,1)=MOD(startday,7)+4,$A$1,""),G6+1)</f>
        <v>45079</v>
      </c>
      <c r="J6" s="3"/>
      <c r="K6" s="4">
        <f>IF(I6="",IF(WEEKDAY($A$1,1)=MOD(startday,7)+5,$A$1,""),I6+1)</f>
        <v>45080</v>
      </c>
      <c r="L6" s="5"/>
      <c r="M6" s="4">
        <f>IF(K6="",IF(WEEKDAY($A$1,1)=MOD(startday+5,7)+1,$A$1,""),K6+1)</f>
        <v>45081</v>
      </c>
      <c r="N6" s="5"/>
    </row>
    <row r="7" spans="1:14" ht="14.1">
      <c r="A7" s="26"/>
      <c r="B7" s="22"/>
      <c r="C7" s="34" t="s">
        <v>9</v>
      </c>
      <c r="D7" s="22"/>
      <c r="E7" s="26" t="s">
        <v>45</v>
      </c>
      <c r="F7" s="22"/>
      <c r="G7" s="34" t="s">
        <v>9</v>
      </c>
      <c r="H7" s="22"/>
      <c r="I7" s="34" t="s">
        <v>78</v>
      </c>
      <c r="J7" s="22"/>
      <c r="K7" s="34" t="s">
        <v>50</v>
      </c>
      <c r="L7" s="22"/>
      <c r="M7" s="34" t="s">
        <v>52</v>
      </c>
      <c r="N7" s="22"/>
    </row>
    <row r="8" spans="1:14" ht="14.1">
      <c r="A8" s="25"/>
      <c r="B8" s="22"/>
      <c r="C8" s="24" t="s">
        <v>25</v>
      </c>
      <c r="D8" s="22"/>
      <c r="E8" s="24" t="s">
        <v>25</v>
      </c>
      <c r="F8" s="22"/>
      <c r="G8" s="24" t="s">
        <v>25</v>
      </c>
      <c r="H8" s="22"/>
      <c r="I8" s="24" t="s">
        <v>12</v>
      </c>
      <c r="J8" s="22"/>
      <c r="K8" s="24" t="s">
        <v>12</v>
      </c>
      <c r="L8" s="22"/>
      <c r="M8" s="24" t="s">
        <v>12</v>
      </c>
      <c r="N8" s="22"/>
    </row>
    <row r="9" spans="1:14" ht="14.1">
      <c r="A9" s="23"/>
      <c r="B9" s="22"/>
      <c r="C9" s="33" t="s">
        <v>11</v>
      </c>
      <c r="D9" s="22"/>
      <c r="E9" s="23" t="s">
        <v>39</v>
      </c>
      <c r="F9" s="22"/>
      <c r="G9" s="33" t="s">
        <v>11</v>
      </c>
      <c r="H9" s="22"/>
      <c r="I9" s="33" t="s">
        <v>53</v>
      </c>
      <c r="J9" s="22"/>
      <c r="K9" s="33" t="s">
        <v>10</v>
      </c>
      <c r="L9" s="22"/>
      <c r="M9" s="33" t="s">
        <v>39</v>
      </c>
      <c r="N9" s="22"/>
    </row>
    <row r="10" spans="1:14" ht="14.1">
      <c r="A10" s="21"/>
      <c r="B10" s="22"/>
      <c r="C10" s="27" t="s">
        <v>15</v>
      </c>
      <c r="D10" s="22"/>
      <c r="E10" s="27" t="s">
        <v>15</v>
      </c>
      <c r="F10" s="22"/>
      <c r="G10" s="27" t="s">
        <v>15</v>
      </c>
      <c r="H10" s="22"/>
      <c r="I10" s="27" t="s">
        <v>15</v>
      </c>
      <c r="J10" s="22"/>
      <c r="K10" s="27" t="s">
        <v>15</v>
      </c>
      <c r="L10" s="22"/>
      <c r="M10" s="27" t="s">
        <v>15</v>
      </c>
      <c r="N10" s="22"/>
    </row>
    <row r="11" spans="1:14" ht="14.1">
      <c r="A11" s="59"/>
      <c r="B11" s="22"/>
      <c r="C11" s="60" t="s">
        <v>25</v>
      </c>
      <c r="D11" s="22"/>
      <c r="E11" s="60" t="s">
        <v>25</v>
      </c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28" t="s">
        <v>26</v>
      </c>
      <c r="D12" s="22"/>
      <c r="E12" s="29" t="s">
        <v>28</v>
      </c>
      <c r="F12" s="22"/>
      <c r="G12" s="28" t="s">
        <v>27</v>
      </c>
      <c r="H12" s="22"/>
      <c r="I12" s="28" t="s">
        <v>26</v>
      </c>
      <c r="J12" s="22"/>
      <c r="K12" s="28" t="s">
        <v>17</v>
      </c>
      <c r="L12" s="22"/>
      <c r="M12" s="28" t="s">
        <v>17</v>
      </c>
      <c r="N12" s="22"/>
    </row>
    <row r="13" spans="1:14" ht="18" customHeight="1">
      <c r="A13" s="30"/>
      <c r="B13" s="22"/>
      <c r="C13" s="32" t="s">
        <v>63</v>
      </c>
      <c r="D13" s="31"/>
      <c r="E13" s="32" t="s">
        <v>50</v>
      </c>
      <c r="F13" s="31"/>
      <c r="G13" s="32" t="s">
        <v>50</v>
      </c>
      <c r="H13" s="31"/>
      <c r="I13" s="32" t="s">
        <v>81</v>
      </c>
      <c r="J13" s="31"/>
      <c r="K13" s="32" t="s">
        <v>58</v>
      </c>
      <c r="L13" s="31"/>
      <c r="M13" s="32" t="s">
        <v>58</v>
      </c>
      <c r="N13" s="31"/>
    </row>
    <row r="14" spans="1:14" ht="18" customHeight="1">
      <c r="A14" s="2">
        <f>M6+1</f>
        <v>45082</v>
      </c>
      <c r="B14" s="3"/>
      <c r="C14" s="2">
        <f>A14+1</f>
        <v>45083</v>
      </c>
      <c r="D14" s="3"/>
      <c r="E14" s="2">
        <f>C14+1</f>
        <v>45084</v>
      </c>
      <c r="F14" s="3"/>
      <c r="G14" s="2">
        <f>E14+1</f>
        <v>45085</v>
      </c>
      <c r="H14" s="3"/>
      <c r="I14" s="2">
        <f>G14+1</f>
        <v>45086</v>
      </c>
      <c r="J14" s="3"/>
      <c r="K14" s="4">
        <f>I14+1</f>
        <v>45087</v>
      </c>
      <c r="L14" s="5"/>
      <c r="M14" s="4">
        <f>K14+1</f>
        <v>45088</v>
      </c>
      <c r="N14" s="5"/>
    </row>
    <row r="15" spans="1:14" ht="14.1">
      <c r="A15" s="26" t="s">
        <v>52</v>
      </c>
      <c r="B15" s="22"/>
      <c r="C15" s="34" t="s">
        <v>50</v>
      </c>
      <c r="D15" s="22"/>
      <c r="E15" s="26" t="s">
        <v>78</v>
      </c>
      <c r="F15" s="22"/>
      <c r="G15" s="34" t="s">
        <v>50</v>
      </c>
      <c r="H15" s="22"/>
      <c r="I15" s="34" t="s">
        <v>10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25" t="s">
        <v>12</v>
      </c>
      <c r="B16" s="22"/>
      <c r="C16" s="25" t="s">
        <v>12</v>
      </c>
      <c r="D16" s="22"/>
      <c r="E16" s="25" t="s">
        <v>12</v>
      </c>
      <c r="F16" s="22"/>
      <c r="G16" s="25" t="s">
        <v>12</v>
      </c>
      <c r="H16" s="22"/>
      <c r="I16" s="24" t="s">
        <v>38</v>
      </c>
      <c r="J16" s="22"/>
      <c r="K16" s="24" t="s">
        <v>38</v>
      </c>
      <c r="L16" s="22"/>
      <c r="M16" s="24" t="s">
        <v>38</v>
      </c>
      <c r="N16" s="22"/>
    </row>
    <row r="17" spans="1:14" ht="14.1">
      <c r="A17" s="23" t="s">
        <v>45</v>
      </c>
      <c r="B17" s="22"/>
      <c r="C17" s="33" t="s">
        <v>9</v>
      </c>
      <c r="D17" s="22"/>
      <c r="E17" s="23" t="s">
        <v>53</v>
      </c>
      <c r="F17" s="22"/>
      <c r="G17" s="33" t="s">
        <v>9</v>
      </c>
      <c r="H17" s="22"/>
      <c r="I17" s="33" t="s">
        <v>53</v>
      </c>
      <c r="J17" s="22"/>
      <c r="K17" s="33" t="s">
        <v>82</v>
      </c>
      <c r="L17" s="22"/>
      <c r="M17" s="33" t="s">
        <v>82</v>
      </c>
      <c r="N17" s="22"/>
    </row>
    <row r="18" spans="1:14" ht="14.1">
      <c r="A18" s="21" t="s">
        <v>24</v>
      </c>
      <c r="B18" s="22"/>
      <c r="C18" s="27" t="s">
        <v>24</v>
      </c>
      <c r="D18" s="22"/>
      <c r="E18" s="21" t="s">
        <v>15</v>
      </c>
      <c r="F18" s="22"/>
      <c r="G18" s="21" t="s">
        <v>15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59" t="s">
        <v>43</v>
      </c>
      <c r="B19" s="22"/>
      <c r="C19" s="59" t="s">
        <v>43</v>
      </c>
      <c r="D19" s="22"/>
      <c r="E19" s="59" t="s">
        <v>43</v>
      </c>
      <c r="F19" s="22"/>
      <c r="G19" s="59" t="s">
        <v>43</v>
      </c>
      <c r="H19" s="22"/>
      <c r="I19" s="59" t="s">
        <v>43</v>
      </c>
      <c r="J19" s="22"/>
      <c r="K19" s="59" t="s">
        <v>43</v>
      </c>
      <c r="L19" s="22"/>
      <c r="M19" s="59" t="s">
        <v>43</v>
      </c>
      <c r="N19" s="22"/>
    </row>
    <row r="20" spans="1:14" ht="14.1">
      <c r="A20" s="29" t="s">
        <v>17</v>
      </c>
      <c r="B20" s="22"/>
      <c r="C20" s="28" t="s">
        <v>17</v>
      </c>
      <c r="D20" s="22"/>
      <c r="E20" s="29" t="s">
        <v>28</v>
      </c>
      <c r="F20" s="22"/>
      <c r="G20" s="28" t="s">
        <v>26</v>
      </c>
      <c r="H20" s="22"/>
      <c r="I20" s="28" t="s">
        <v>27</v>
      </c>
      <c r="J20" s="22"/>
      <c r="K20" s="28" t="s">
        <v>19</v>
      </c>
      <c r="L20" s="22"/>
      <c r="M20" s="28" t="s">
        <v>19</v>
      </c>
      <c r="N20" s="22"/>
    </row>
    <row r="21" spans="1:14" ht="18" customHeight="1">
      <c r="A21" s="30" t="s">
        <v>29</v>
      </c>
      <c r="B21" s="22"/>
      <c r="C21" s="30" t="s">
        <v>29</v>
      </c>
      <c r="D21" s="22"/>
      <c r="E21" s="30" t="s">
        <v>30</v>
      </c>
      <c r="F21" s="22"/>
      <c r="G21" s="30" t="s">
        <v>29</v>
      </c>
      <c r="H21" s="22"/>
      <c r="I21" s="30" t="s">
        <v>30</v>
      </c>
      <c r="J21" s="22"/>
      <c r="K21" s="30" t="s">
        <v>30</v>
      </c>
      <c r="L21" s="22"/>
      <c r="M21" s="30" t="s">
        <v>30</v>
      </c>
      <c r="N21" s="22"/>
    </row>
    <row r="22" spans="1:14" ht="18" customHeight="1">
      <c r="A22" s="2">
        <f>M14+1</f>
        <v>45089</v>
      </c>
      <c r="B22" s="3"/>
      <c r="C22" s="2">
        <f>A22+1</f>
        <v>45090</v>
      </c>
      <c r="D22" s="3"/>
      <c r="E22" s="2">
        <f>C22+1</f>
        <v>45091</v>
      </c>
      <c r="F22" s="3"/>
      <c r="G22" s="2">
        <f>E22+1</f>
        <v>45092</v>
      </c>
      <c r="H22" s="3"/>
      <c r="I22" s="2">
        <f>G22+1</f>
        <v>45093</v>
      </c>
      <c r="J22" s="3"/>
      <c r="K22" s="4">
        <f>I22+1</f>
        <v>45094</v>
      </c>
      <c r="L22" s="5"/>
      <c r="M22" s="4">
        <f>K22+1</f>
        <v>45095</v>
      </c>
      <c r="N22" s="5"/>
    </row>
    <row r="23" spans="1:14" ht="14.1">
      <c r="A23" s="26" t="s">
        <v>24</v>
      </c>
      <c r="B23" s="22"/>
      <c r="C23" s="26" t="s">
        <v>24</v>
      </c>
      <c r="D23" s="22"/>
      <c r="E23" s="26" t="s">
        <v>24</v>
      </c>
      <c r="F23" s="22"/>
      <c r="G23" s="26" t="s">
        <v>24</v>
      </c>
      <c r="H23" s="22"/>
      <c r="I23" s="26" t="s">
        <v>24</v>
      </c>
      <c r="J23" s="22"/>
      <c r="K23" s="26" t="s">
        <v>24</v>
      </c>
      <c r="L23" s="22"/>
      <c r="M23" s="26" t="s">
        <v>24</v>
      </c>
      <c r="N23" s="22"/>
    </row>
    <row r="24" spans="1:14" ht="14.1">
      <c r="A24" s="25" t="s">
        <v>38</v>
      </c>
      <c r="B24" s="22"/>
      <c r="C24" s="24" t="s">
        <v>38</v>
      </c>
      <c r="D24" s="22"/>
      <c r="E24" s="25" t="s">
        <v>38</v>
      </c>
      <c r="F24" s="22"/>
      <c r="G24" s="24" t="s">
        <v>38</v>
      </c>
      <c r="H24" s="22"/>
      <c r="I24" s="24" t="s">
        <v>54</v>
      </c>
      <c r="J24" s="22"/>
      <c r="K24" s="24" t="s">
        <v>54</v>
      </c>
      <c r="L24" s="22"/>
      <c r="M24" s="24" t="s">
        <v>54</v>
      </c>
      <c r="N24" s="22"/>
    </row>
    <row r="25" spans="1:14" ht="14.1">
      <c r="A25" s="23" t="s">
        <v>11</v>
      </c>
      <c r="B25" s="22"/>
      <c r="C25" s="33" t="s">
        <v>11</v>
      </c>
      <c r="D25" s="22"/>
      <c r="E25" s="23" t="s">
        <v>11</v>
      </c>
      <c r="F25" s="22"/>
      <c r="G25" s="33" t="s">
        <v>11</v>
      </c>
      <c r="H25" s="22"/>
      <c r="I25" s="33" t="s">
        <v>83</v>
      </c>
      <c r="J25" s="22"/>
      <c r="K25" s="33" t="s">
        <v>76</v>
      </c>
      <c r="L25" s="22"/>
      <c r="M25" s="33" t="s">
        <v>76</v>
      </c>
      <c r="N25" s="22"/>
    </row>
    <row r="26" spans="1:14" ht="14.1">
      <c r="A26" s="21" t="s">
        <v>24</v>
      </c>
      <c r="B26" s="22"/>
      <c r="C26" s="21" t="s">
        <v>24</v>
      </c>
      <c r="D26" s="22"/>
      <c r="E26" s="21" t="s">
        <v>24</v>
      </c>
      <c r="F26" s="22"/>
      <c r="G26" s="21" t="s">
        <v>24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84</v>
      </c>
      <c r="B28" s="22"/>
      <c r="C28" s="28" t="s">
        <v>17</v>
      </c>
      <c r="D28" s="22"/>
      <c r="E28" s="29" t="s">
        <v>28</v>
      </c>
      <c r="F28" s="22"/>
      <c r="G28" s="28" t="s">
        <v>17</v>
      </c>
      <c r="H28" s="22"/>
      <c r="I28" s="28" t="s">
        <v>28</v>
      </c>
      <c r="J28" s="22"/>
      <c r="K28" s="28" t="s">
        <v>36</v>
      </c>
      <c r="L28" s="22"/>
      <c r="M28" s="28" t="s">
        <v>36</v>
      </c>
      <c r="N28" s="22"/>
    </row>
    <row r="29" spans="1:14" ht="18" customHeight="1">
      <c r="A29" s="30" t="s">
        <v>63</v>
      </c>
      <c r="B29" s="22"/>
      <c r="C29" s="30" t="s">
        <v>63</v>
      </c>
      <c r="D29" s="22"/>
      <c r="E29" s="30" t="s">
        <v>50</v>
      </c>
      <c r="F29" s="22"/>
      <c r="G29" s="30" t="s">
        <v>63</v>
      </c>
      <c r="H29" s="22"/>
      <c r="I29" s="30" t="s">
        <v>50</v>
      </c>
      <c r="J29" s="22"/>
      <c r="K29" s="30" t="s">
        <v>50</v>
      </c>
      <c r="L29" s="22"/>
      <c r="M29" s="30" t="s">
        <v>50</v>
      </c>
      <c r="N29" s="22"/>
    </row>
    <row r="30" spans="1:14" ht="18" customHeight="1">
      <c r="A30" s="4">
        <f>M22+1</f>
        <v>45096</v>
      </c>
      <c r="B30" s="5"/>
      <c r="C30" s="4">
        <f>A30+1</f>
        <v>45097</v>
      </c>
      <c r="D30" s="5"/>
      <c r="E30" s="4">
        <f>C30+1</f>
        <v>45098</v>
      </c>
      <c r="F30" s="5"/>
      <c r="G30" s="4">
        <f>E30+1</f>
        <v>45099</v>
      </c>
      <c r="H30" s="5"/>
      <c r="I30" s="4">
        <f>G30+1</f>
        <v>45100</v>
      </c>
      <c r="J30" s="5"/>
      <c r="K30" s="4">
        <f>I30+1</f>
        <v>45101</v>
      </c>
      <c r="L30" s="5"/>
      <c r="M30" s="4">
        <f>K30+1</f>
        <v>45102</v>
      </c>
      <c r="N30" s="5"/>
    </row>
    <row r="31" spans="1:14" ht="14.1">
      <c r="A31" s="26" t="s">
        <v>85</v>
      </c>
      <c r="B31" s="22"/>
      <c r="C31" s="26" t="s">
        <v>24</v>
      </c>
      <c r="D31" s="22"/>
      <c r="E31" s="26" t="s">
        <v>24</v>
      </c>
      <c r="F31" s="22"/>
      <c r="G31" s="26" t="s">
        <v>24</v>
      </c>
      <c r="H31" s="22"/>
      <c r="I31" s="34" t="s">
        <v>31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25" t="s">
        <v>54</v>
      </c>
      <c r="B32" s="22"/>
      <c r="C32" s="25" t="s">
        <v>54</v>
      </c>
      <c r="D32" s="22"/>
      <c r="E32" s="25" t="s">
        <v>54</v>
      </c>
      <c r="F32" s="22"/>
      <c r="G32" s="25" t="s">
        <v>54</v>
      </c>
      <c r="H32" s="22"/>
      <c r="I32" s="24" t="s">
        <v>42</v>
      </c>
      <c r="J32" s="22"/>
      <c r="K32" s="24" t="s">
        <v>42</v>
      </c>
      <c r="L32" s="22"/>
      <c r="M32" s="24" t="s">
        <v>42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33" t="s">
        <v>75</v>
      </c>
      <c r="J33" s="22"/>
      <c r="K33" s="33" t="s">
        <v>39</v>
      </c>
      <c r="L33" s="22"/>
      <c r="M33" s="33" t="s">
        <v>39</v>
      </c>
      <c r="N33" s="22"/>
    </row>
    <row r="34" spans="1:14" ht="14.1">
      <c r="A34" s="21" t="s">
        <v>15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28" t="s">
        <v>27</v>
      </c>
      <c r="D36" s="22"/>
      <c r="E36" s="29" t="s">
        <v>27</v>
      </c>
      <c r="F36" s="22"/>
      <c r="G36" s="28" t="s">
        <v>27</v>
      </c>
      <c r="H36" s="22"/>
      <c r="I36" s="28" t="s">
        <v>26</v>
      </c>
      <c r="J36" s="22"/>
      <c r="K36" s="28" t="s">
        <v>26</v>
      </c>
      <c r="L36" s="22"/>
      <c r="M36" s="28" t="s">
        <v>19</v>
      </c>
      <c r="N36" s="22"/>
    </row>
    <row r="37" spans="1:14" ht="18" customHeight="1">
      <c r="A37" s="30" t="s">
        <v>50</v>
      </c>
      <c r="B37" s="22"/>
      <c r="C37" s="30" t="s">
        <v>50</v>
      </c>
      <c r="D37" s="22"/>
      <c r="E37" s="30" t="s">
        <v>50</v>
      </c>
      <c r="F37" s="22"/>
      <c r="G37" s="30" t="s">
        <v>50</v>
      </c>
      <c r="H37" s="22"/>
      <c r="I37" s="30" t="s">
        <v>63</v>
      </c>
      <c r="J37" s="22"/>
      <c r="K37" s="30" t="s">
        <v>74</v>
      </c>
      <c r="L37" s="22"/>
      <c r="M37" s="30" t="s">
        <v>50</v>
      </c>
      <c r="N37" s="22"/>
    </row>
    <row r="38" spans="1:14" ht="18" customHeight="1">
      <c r="A38" s="4">
        <f>IF(M30="","",IF(MONTH(M30+1)&lt;&gt;MONTH($A$1),"",M30+1))</f>
        <v>45103</v>
      </c>
      <c r="B38" s="5"/>
      <c r="C38" s="4">
        <f>IF(A38="","",IF(MONTH(A38+1)&lt;&gt;MONTH($A$1),"",A38+1))</f>
        <v>45104</v>
      </c>
      <c r="D38" s="5"/>
      <c r="E38" s="4">
        <f>IF(C38="","",IF(MONTH(C38+1)&lt;&gt;MONTH($A$1),"",C38+1))</f>
        <v>45105</v>
      </c>
      <c r="F38" s="5"/>
      <c r="G38" s="4">
        <f>IF(E38="","",IF(MONTH(E38+1)&lt;&gt;MONTH($A$1),"",E38+1))</f>
        <v>45106</v>
      </c>
      <c r="H38" s="5"/>
      <c r="I38" s="4">
        <f>IF(G38="","",IF(MONTH(G38+1)&lt;&gt;MONTH($A$1),"",G38+1))</f>
        <v>45107</v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53</v>
      </c>
      <c r="B39" s="22"/>
      <c r="C39" s="34" t="s">
        <v>9</v>
      </c>
      <c r="D39" s="22"/>
      <c r="E39" s="26" t="s">
        <v>45</v>
      </c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25" t="s">
        <v>42</v>
      </c>
      <c r="B40" s="22"/>
      <c r="C40" s="25" t="s">
        <v>42</v>
      </c>
      <c r="D40" s="22"/>
      <c r="E40" s="25" t="s">
        <v>42</v>
      </c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10</v>
      </c>
      <c r="B41" s="22"/>
      <c r="C41" s="33" t="s">
        <v>11</v>
      </c>
      <c r="D41" s="22"/>
      <c r="E41" s="23" t="s">
        <v>39</v>
      </c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4.1">
      <c r="A42" s="21" t="s">
        <v>15</v>
      </c>
      <c r="B42" s="22"/>
      <c r="C42" s="27" t="s">
        <v>15</v>
      </c>
      <c r="D42" s="22"/>
      <c r="E42" s="21" t="s">
        <v>15</v>
      </c>
      <c r="F42" s="22"/>
      <c r="G42" s="27"/>
      <c r="H42" s="22"/>
      <c r="I42" s="27"/>
      <c r="J42" s="22"/>
      <c r="K42" s="27"/>
      <c r="L42" s="22"/>
      <c r="M42" s="27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71</v>
      </c>
      <c r="B44" s="22"/>
      <c r="C44" s="28" t="s">
        <v>26</v>
      </c>
      <c r="D44" s="22"/>
      <c r="E44" s="29" t="s">
        <v>28</v>
      </c>
      <c r="F44" s="22"/>
      <c r="G44" s="28"/>
      <c r="H44" s="22"/>
      <c r="I44" s="28"/>
      <c r="J44" s="22"/>
      <c r="K44" s="28"/>
      <c r="L44" s="22"/>
      <c r="M44" s="28"/>
      <c r="N44" s="22"/>
    </row>
    <row r="45" spans="1:14" ht="18" customHeight="1">
      <c r="A45" s="30" t="s">
        <v>29</v>
      </c>
      <c r="B45" s="22"/>
      <c r="C45" s="32" t="s">
        <v>29</v>
      </c>
      <c r="D45" s="31"/>
      <c r="E45" s="30" t="s">
        <v>30</v>
      </c>
      <c r="F45" s="22"/>
      <c r="G45" s="32"/>
      <c r="H45" s="31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86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87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EDATE('©'!A17,12)</f>
        <v>45108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JULY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45110</v>
      </c>
      <c r="B5" s="51"/>
      <c r="C5" s="50">
        <f>C14</f>
        <v>45111</v>
      </c>
      <c r="D5" s="51"/>
      <c r="E5" s="50">
        <f>E14</f>
        <v>45112</v>
      </c>
      <c r="F5" s="51"/>
      <c r="G5" s="50">
        <f>G14</f>
        <v>45113</v>
      </c>
      <c r="H5" s="51"/>
      <c r="I5" s="50">
        <f>I14</f>
        <v>45114</v>
      </c>
      <c r="J5" s="51"/>
      <c r="K5" s="50">
        <f>K14</f>
        <v>45115</v>
      </c>
      <c r="L5" s="51"/>
      <c r="M5" s="50">
        <f>M14</f>
        <v>45116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6"/>
      <c r="B7" s="22"/>
      <c r="C7" s="34"/>
      <c r="D7" s="22"/>
      <c r="E7" s="26"/>
      <c r="F7" s="22"/>
      <c r="G7" s="34" t="s">
        <v>9</v>
      </c>
      <c r="H7" s="22"/>
      <c r="I7" s="34" t="s">
        <v>50</v>
      </c>
      <c r="J7" s="22"/>
      <c r="K7" s="34" t="s">
        <v>50</v>
      </c>
      <c r="L7" s="22"/>
      <c r="M7" s="34" t="s">
        <v>50</v>
      </c>
      <c r="N7" s="22"/>
    </row>
    <row r="8" spans="1:14" ht="14.1">
      <c r="A8" s="25"/>
      <c r="B8" s="22"/>
      <c r="C8" s="24"/>
      <c r="D8" s="22"/>
      <c r="E8" s="24"/>
      <c r="F8" s="22"/>
      <c r="G8" s="24" t="s">
        <v>42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/>
      <c r="B9" s="22"/>
      <c r="C9" s="33"/>
      <c r="D9" s="22"/>
      <c r="E9" s="23"/>
      <c r="F9" s="22"/>
      <c r="G9" s="33" t="s">
        <v>39</v>
      </c>
      <c r="H9" s="22"/>
      <c r="I9" s="33" t="s">
        <v>13</v>
      </c>
      <c r="J9" s="22"/>
      <c r="K9" s="33" t="s">
        <v>88</v>
      </c>
      <c r="L9" s="22"/>
      <c r="M9" s="33" t="s">
        <v>88</v>
      </c>
      <c r="N9" s="22"/>
    </row>
    <row r="10" spans="1:14" ht="14.1">
      <c r="A10" s="21"/>
      <c r="B10" s="22"/>
      <c r="C10" s="27"/>
      <c r="D10" s="22"/>
      <c r="E10" s="27"/>
      <c r="F10" s="22"/>
      <c r="G10" s="27" t="s">
        <v>15</v>
      </c>
      <c r="H10" s="22"/>
      <c r="I10" s="27" t="s">
        <v>15</v>
      </c>
      <c r="J10" s="22"/>
      <c r="K10" s="27" t="s">
        <v>15</v>
      </c>
      <c r="L10" s="22"/>
      <c r="M10" s="27" t="s">
        <v>15</v>
      </c>
      <c r="N10" s="22"/>
    </row>
    <row r="11" spans="1:14" ht="14.1">
      <c r="A11" s="59"/>
      <c r="B11" s="22"/>
      <c r="C11" s="60"/>
      <c r="D11" s="22"/>
      <c r="E11" s="60"/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28"/>
      <c r="D12" s="22"/>
      <c r="E12" s="29"/>
      <c r="F12" s="22"/>
      <c r="G12" s="28" t="s">
        <v>17</v>
      </c>
      <c r="H12" s="22"/>
      <c r="I12" s="28" t="s">
        <v>28</v>
      </c>
      <c r="J12" s="22"/>
      <c r="K12" s="28" t="s">
        <v>36</v>
      </c>
      <c r="L12" s="22"/>
      <c r="M12" s="28" t="s">
        <v>36</v>
      </c>
      <c r="N12" s="22"/>
    </row>
    <row r="13" spans="1:14" ht="18" customHeight="1">
      <c r="A13" s="30"/>
      <c r="B13" s="22"/>
      <c r="C13" s="32"/>
      <c r="D13" s="31"/>
      <c r="E13" s="32"/>
      <c r="F13" s="31"/>
      <c r="G13" s="32" t="s">
        <v>29</v>
      </c>
      <c r="H13" s="31"/>
      <c r="I13" s="32" t="s">
        <v>30</v>
      </c>
      <c r="J13" s="31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6" t="s">
        <v>49</v>
      </c>
      <c r="B15" s="22"/>
      <c r="C15" s="26" t="s">
        <v>50</v>
      </c>
      <c r="D15" s="22"/>
      <c r="E15" s="26" t="s">
        <v>50</v>
      </c>
      <c r="F15" s="22"/>
      <c r="G15" s="26" t="s">
        <v>50</v>
      </c>
      <c r="H15" s="22"/>
      <c r="I15" s="34" t="s">
        <v>39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25" t="s">
        <v>16</v>
      </c>
      <c r="B16" s="22"/>
      <c r="C16" s="25" t="s">
        <v>16</v>
      </c>
      <c r="D16" s="22"/>
      <c r="E16" s="25" t="s">
        <v>16</v>
      </c>
      <c r="F16" s="22"/>
      <c r="G16" s="25" t="s">
        <v>16</v>
      </c>
      <c r="H16" s="22"/>
      <c r="I16" s="24" t="s">
        <v>25</v>
      </c>
      <c r="J16" s="22"/>
      <c r="K16" s="24" t="s">
        <v>25</v>
      </c>
      <c r="L16" s="22"/>
      <c r="M16" s="24" t="s">
        <v>25</v>
      </c>
      <c r="N16" s="22"/>
    </row>
    <row r="17" spans="1:14" ht="14.1">
      <c r="A17" s="23" t="s">
        <v>13</v>
      </c>
      <c r="B17" s="22"/>
      <c r="C17" s="23" t="s">
        <v>13</v>
      </c>
      <c r="D17" s="22"/>
      <c r="E17" s="23" t="s">
        <v>13</v>
      </c>
      <c r="F17" s="22"/>
      <c r="G17" s="23" t="s">
        <v>13</v>
      </c>
      <c r="H17" s="22"/>
      <c r="I17" s="23" t="s">
        <v>9</v>
      </c>
      <c r="J17" s="22"/>
      <c r="K17" s="23" t="s">
        <v>31</v>
      </c>
      <c r="L17" s="22"/>
      <c r="M17" s="23" t="s">
        <v>31</v>
      </c>
      <c r="N17" s="22"/>
    </row>
    <row r="18" spans="1:14" ht="14.1">
      <c r="A18" s="21" t="s">
        <v>15</v>
      </c>
      <c r="B18" s="22"/>
      <c r="C18" s="21" t="s">
        <v>15</v>
      </c>
      <c r="D18" s="22"/>
      <c r="E18" s="21" t="s">
        <v>15</v>
      </c>
      <c r="F18" s="22"/>
      <c r="G18" s="21" t="s">
        <v>15</v>
      </c>
      <c r="H18" s="22"/>
      <c r="I18" s="21" t="s">
        <v>89</v>
      </c>
      <c r="J18" s="22"/>
      <c r="K18" s="21" t="s">
        <v>89</v>
      </c>
      <c r="L18" s="22"/>
      <c r="M18" s="21" t="s">
        <v>89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26</v>
      </c>
      <c r="B20" s="22"/>
      <c r="C20" s="28" t="s">
        <v>26</v>
      </c>
      <c r="D20" s="22"/>
      <c r="E20" s="29" t="s">
        <v>28</v>
      </c>
      <c r="F20" s="22"/>
      <c r="G20" s="28" t="s">
        <v>27</v>
      </c>
      <c r="H20" s="22"/>
      <c r="I20" s="28" t="s">
        <v>26</v>
      </c>
      <c r="J20" s="22"/>
      <c r="K20" s="28" t="s">
        <v>26</v>
      </c>
      <c r="L20" s="22"/>
      <c r="M20" s="28" t="s">
        <v>26</v>
      </c>
      <c r="N20" s="22"/>
    </row>
    <row r="21" spans="1:14" ht="18" customHeight="1">
      <c r="A21" s="30" t="s">
        <v>29</v>
      </c>
      <c r="B21" s="22"/>
      <c r="C21" s="30" t="s">
        <v>29</v>
      </c>
      <c r="D21" s="22"/>
      <c r="E21" s="30" t="s">
        <v>30</v>
      </c>
      <c r="F21" s="22"/>
      <c r="G21" s="30" t="s">
        <v>30</v>
      </c>
      <c r="H21" s="22"/>
      <c r="I21" s="30" t="s">
        <v>29</v>
      </c>
      <c r="J21" s="22"/>
      <c r="K21" s="30" t="s">
        <v>90</v>
      </c>
      <c r="L21" s="22"/>
      <c r="M21" s="30" t="s">
        <v>41</v>
      </c>
      <c r="N21" s="22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6" t="s">
        <v>39</v>
      </c>
      <c r="B23" s="22"/>
      <c r="C23" s="26" t="s">
        <v>11</v>
      </c>
      <c r="D23" s="22"/>
      <c r="E23" s="26" t="s">
        <v>11</v>
      </c>
      <c r="F23" s="22"/>
      <c r="G23" s="26" t="s">
        <v>11</v>
      </c>
      <c r="H23" s="22"/>
      <c r="I23" s="26" t="s">
        <v>24</v>
      </c>
      <c r="J23" s="22"/>
      <c r="K23" s="26" t="s">
        <v>24</v>
      </c>
      <c r="L23" s="22"/>
      <c r="M23" s="26" t="s">
        <v>24</v>
      </c>
      <c r="N23" s="22"/>
    </row>
    <row r="24" spans="1:14" ht="14.1">
      <c r="A24" s="25" t="s">
        <v>25</v>
      </c>
      <c r="B24" s="22"/>
      <c r="C24" s="25" t="s">
        <v>25</v>
      </c>
      <c r="D24" s="22"/>
      <c r="E24" s="25" t="s">
        <v>25</v>
      </c>
      <c r="F24" s="22"/>
      <c r="G24" s="25" t="s">
        <v>25</v>
      </c>
      <c r="H24" s="22"/>
      <c r="I24" s="24" t="s">
        <v>51</v>
      </c>
      <c r="J24" s="22"/>
      <c r="K24" s="24" t="s">
        <v>51</v>
      </c>
      <c r="L24" s="22"/>
      <c r="M24" s="24" t="s">
        <v>51</v>
      </c>
      <c r="N24" s="22"/>
    </row>
    <row r="25" spans="1:14" ht="14.1">
      <c r="A25" s="23" t="s">
        <v>9</v>
      </c>
      <c r="B25" s="22"/>
      <c r="C25" s="23" t="s">
        <v>9</v>
      </c>
      <c r="D25" s="22"/>
      <c r="E25" s="23" t="s">
        <v>9</v>
      </c>
      <c r="F25" s="22"/>
      <c r="G25" s="23" t="s">
        <v>91</v>
      </c>
      <c r="H25" s="22"/>
      <c r="I25" s="33" t="s">
        <v>83</v>
      </c>
      <c r="J25" s="22"/>
      <c r="K25" s="33" t="s">
        <v>83</v>
      </c>
      <c r="L25" s="22"/>
      <c r="M25" s="33" t="s">
        <v>83</v>
      </c>
      <c r="N25" s="22"/>
    </row>
    <row r="26" spans="1:14" ht="14.1">
      <c r="A26" s="21" t="s">
        <v>89</v>
      </c>
      <c r="B26" s="22"/>
      <c r="C26" s="21" t="s">
        <v>89</v>
      </c>
      <c r="D26" s="22"/>
      <c r="E26" s="21" t="s">
        <v>24</v>
      </c>
      <c r="F26" s="22"/>
      <c r="G26" s="21" t="s">
        <v>24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28" t="s">
        <v>27</v>
      </c>
      <c r="D28" s="22"/>
      <c r="E28" s="29" t="s">
        <v>28</v>
      </c>
      <c r="F28" s="22"/>
      <c r="G28" s="28" t="s">
        <v>17</v>
      </c>
      <c r="H28" s="22"/>
      <c r="I28" s="28" t="s">
        <v>17</v>
      </c>
      <c r="J28" s="22"/>
      <c r="K28" s="28" t="s">
        <v>17</v>
      </c>
      <c r="L28" s="22"/>
      <c r="M28" s="28" t="s">
        <v>17</v>
      </c>
      <c r="N28" s="22"/>
    </row>
    <row r="29" spans="1:14" ht="18" customHeight="1">
      <c r="A29" s="30" t="s">
        <v>30</v>
      </c>
      <c r="B29" s="22"/>
      <c r="C29" s="30" t="s">
        <v>30</v>
      </c>
      <c r="D29" s="22"/>
      <c r="E29" s="30" t="s">
        <v>30</v>
      </c>
      <c r="F29" s="22"/>
      <c r="G29" s="30" t="s">
        <v>63</v>
      </c>
      <c r="H29" s="22"/>
      <c r="I29" s="30" t="s">
        <v>63</v>
      </c>
      <c r="J29" s="22"/>
      <c r="K29" s="30" t="s">
        <v>74</v>
      </c>
      <c r="L29" s="22"/>
      <c r="M29" s="30" t="s">
        <v>74</v>
      </c>
      <c r="N29" s="22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6" t="s">
        <v>24</v>
      </c>
      <c r="B31" s="22"/>
      <c r="C31" s="26" t="s">
        <v>24</v>
      </c>
      <c r="D31" s="22"/>
      <c r="E31" s="26" t="s">
        <v>24</v>
      </c>
      <c r="F31" s="22"/>
      <c r="G31" s="26" t="s">
        <v>24</v>
      </c>
      <c r="H31" s="22"/>
      <c r="I31" s="34" t="s">
        <v>53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25" t="s">
        <v>51</v>
      </c>
      <c r="B32" s="22"/>
      <c r="C32" s="25" t="s">
        <v>51</v>
      </c>
      <c r="D32" s="22"/>
      <c r="E32" s="25" t="s">
        <v>51</v>
      </c>
      <c r="F32" s="22"/>
      <c r="G32" s="25" t="s">
        <v>51</v>
      </c>
      <c r="H32" s="22"/>
      <c r="I32" s="24" t="s">
        <v>59</v>
      </c>
      <c r="J32" s="22"/>
      <c r="K32" s="24" t="s">
        <v>59</v>
      </c>
      <c r="L32" s="22"/>
      <c r="M32" s="24" t="s">
        <v>59</v>
      </c>
      <c r="N32" s="22"/>
    </row>
    <row r="33" spans="1:14" ht="14.1">
      <c r="A33" s="23" t="s">
        <v>11</v>
      </c>
      <c r="B33" s="22"/>
      <c r="C33" s="23" t="s">
        <v>11</v>
      </c>
      <c r="D33" s="22"/>
      <c r="E33" s="23" t="s">
        <v>11</v>
      </c>
      <c r="F33" s="22"/>
      <c r="G33" s="23" t="s">
        <v>11</v>
      </c>
      <c r="H33" s="22"/>
      <c r="I33" s="33" t="s">
        <v>13</v>
      </c>
      <c r="J33" s="22"/>
      <c r="K33" s="33" t="s">
        <v>55</v>
      </c>
      <c r="L33" s="22"/>
      <c r="M33" s="33" t="s">
        <v>55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15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43</v>
      </c>
      <c r="B35" s="22"/>
      <c r="C35" s="59" t="s">
        <v>43</v>
      </c>
      <c r="D35" s="22"/>
      <c r="E35" s="59" t="s">
        <v>43</v>
      </c>
      <c r="F35" s="22"/>
      <c r="G35" s="59" t="s">
        <v>43</v>
      </c>
      <c r="H35" s="22"/>
      <c r="I35" s="59" t="s">
        <v>43</v>
      </c>
      <c r="J35" s="22"/>
      <c r="K35" s="59" t="s">
        <v>43</v>
      </c>
      <c r="L35" s="22"/>
      <c r="M35" s="59" t="s">
        <v>43</v>
      </c>
      <c r="N35" s="22"/>
    </row>
    <row r="36" spans="1:14" ht="14.1">
      <c r="A36" s="29" t="s">
        <v>28</v>
      </c>
      <c r="B36" s="22"/>
      <c r="C36" s="28" t="s">
        <v>17</v>
      </c>
      <c r="D36" s="22"/>
      <c r="E36" s="29" t="s">
        <v>28</v>
      </c>
      <c r="F36" s="22"/>
      <c r="G36" s="28" t="s">
        <v>71</v>
      </c>
      <c r="H36" s="22"/>
      <c r="I36" s="28" t="s">
        <v>27</v>
      </c>
      <c r="J36" s="22"/>
      <c r="K36" s="28" t="s">
        <v>19</v>
      </c>
      <c r="L36" s="22"/>
      <c r="M36" s="28" t="s">
        <v>19</v>
      </c>
      <c r="N36" s="22"/>
    </row>
    <row r="37" spans="1:14" ht="18" customHeight="1">
      <c r="A37" s="30" t="s">
        <v>50</v>
      </c>
      <c r="B37" s="22"/>
      <c r="C37" s="30" t="s">
        <v>63</v>
      </c>
      <c r="D37" s="22"/>
      <c r="E37" s="30" t="s">
        <v>50</v>
      </c>
      <c r="F37" s="22"/>
      <c r="G37" s="30" t="s">
        <v>63</v>
      </c>
      <c r="H37" s="22"/>
      <c r="I37" s="30" t="s">
        <v>50</v>
      </c>
      <c r="J37" s="22"/>
      <c r="K37" s="30" t="s">
        <v>50</v>
      </c>
      <c r="L37" s="22"/>
      <c r="M37" s="30" t="s">
        <v>50</v>
      </c>
      <c r="N37" s="22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6" t="s">
        <v>53</v>
      </c>
      <c r="B39" s="22"/>
      <c r="C39" s="26" t="s">
        <v>9</v>
      </c>
      <c r="D39" s="22"/>
      <c r="E39" s="26" t="s">
        <v>92</v>
      </c>
      <c r="F39" s="22"/>
      <c r="G39" s="26" t="s">
        <v>9</v>
      </c>
      <c r="H39" s="22"/>
      <c r="I39" s="34" t="s">
        <v>93</v>
      </c>
      <c r="J39" s="22"/>
      <c r="K39" s="34" t="s">
        <v>50</v>
      </c>
      <c r="L39" s="22"/>
      <c r="M39" s="34"/>
      <c r="N39" s="22"/>
    </row>
    <row r="40" spans="1:14" ht="14.1">
      <c r="A40" s="25" t="s">
        <v>59</v>
      </c>
      <c r="B40" s="22"/>
      <c r="C40" s="25" t="s">
        <v>59</v>
      </c>
      <c r="D40" s="22"/>
      <c r="E40" s="25" t="s">
        <v>59</v>
      </c>
      <c r="F40" s="22"/>
      <c r="G40" s="25" t="s">
        <v>59</v>
      </c>
      <c r="H40" s="22"/>
      <c r="I40" s="24" t="s">
        <v>12</v>
      </c>
      <c r="J40" s="22"/>
      <c r="K40" s="24" t="s">
        <v>12</v>
      </c>
      <c r="L40" s="22"/>
      <c r="M40" s="24"/>
      <c r="N40" s="22"/>
    </row>
    <row r="41" spans="1:14" ht="14.1">
      <c r="A41" s="23" t="s">
        <v>13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33" t="s">
        <v>9</v>
      </c>
      <c r="J41" s="22"/>
      <c r="K41" s="33" t="s">
        <v>53</v>
      </c>
      <c r="L41" s="22"/>
      <c r="M41" s="33"/>
      <c r="N41" s="22"/>
    </row>
    <row r="42" spans="1:14" ht="14.1">
      <c r="A42" s="21" t="s">
        <v>24</v>
      </c>
      <c r="B42" s="22"/>
      <c r="C42" s="21" t="s">
        <v>24</v>
      </c>
      <c r="D42" s="22"/>
      <c r="E42" s="21" t="s">
        <v>24</v>
      </c>
      <c r="F42" s="22"/>
      <c r="G42" s="21" t="s">
        <v>24</v>
      </c>
      <c r="H42" s="22"/>
      <c r="I42" s="21" t="s">
        <v>24</v>
      </c>
      <c r="J42" s="22"/>
      <c r="K42" s="21" t="s">
        <v>24</v>
      </c>
      <c r="L42" s="22"/>
      <c r="M42" s="27"/>
      <c r="N42" s="22"/>
    </row>
    <row r="43" spans="1:14" ht="14.1">
      <c r="A43" s="59" t="s">
        <v>16</v>
      </c>
      <c r="B43" s="22"/>
      <c r="C43" s="60" t="s">
        <v>16</v>
      </c>
      <c r="D43" s="22"/>
      <c r="E43" s="59" t="s">
        <v>16</v>
      </c>
      <c r="F43" s="22"/>
      <c r="G43" s="60" t="s">
        <v>16</v>
      </c>
      <c r="H43" s="22"/>
      <c r="I43" s="60" t="s">
        <v>16</v>
      </c>
      <c r="J43" s="22"/>
      <c r="K43" s="60" t="s">
        <v>16</v>
      </c>
      <c r="L43" s="22"/>
      <c r="M43" s="60"/>
      <c r="N43" s="22"/>
    </row>
    <row r="44" spans="1:14" ht="14.1">
      <c r="A44" s="29" t="s">
        <v>27</v>
      </c>
      <c r="B44" s="22"/>
      <c r="C44" s="28" t="s">
        <v>27</v>
      </c>
      <c r="D44" s="22"/>
      <c r="E44" s="29" t="s">
        <v>28</v>
      </c>
      <c r="F44" s="22"/>
      <c r="G44" s="28" t="s">
        <v>84</v>
      </c>
      <c r="H44" s="22"/>
      <c r="I44" s="28" t="s">
        <v>28</v>
      </c>
      <c r="J44" s="22"/>
      <c r="K44" s="28" t="s">
        <v>36</v>
      </c>
      <c r="L44" s="22"/>
      <c r="M44" s="28"/>
      <c r="N44" s="22"/>
    </row>
    <row r="45" spans="1:14" ht="18" customHeight="1">
      <c r="A45" s="30" t="s">
        <v>30</v>
      </c>
      <c r="B45" s="22"/>
      <c r="C45" s="30" t="s">
        <v>30</v>
      </c>
      <c r="D45" s="22"/>
      <c r="E45" s="30" t="s">
        <v>30</v>
      </c>
      <c r="F45" s="22"/>
      <c r="G45" s="30" t="s">
        <v>29</v>
      </c>
      <c r="H45" s="22"/>
      <c r="I45" s="30" t="s">
        <v>30</v>
      </c>
      <c r="J45" s="22"/>
      <c r="K45" s="30" t="s">
        <v>30</v>
      </c>
      <c r="L45" s="22"/>
      <c r="M45" s="32"/>
      <c r="N45" s="31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94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95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96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EDATE('©'!A17,13)</f>
        <v>45139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AUGUST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45145</v>
      </c>
      <c r="B5" s="51"/>
      <c r="C5" s="50">
        <f>C14</f>
        <v>45146</v>
      </c>
      <c r="D5" s="51"/>
      <c r="E5" s="50">
        <f>E14</f>
        <v>45147</v>
      </c>
      <c r="F5" s="51"/>
      <c r="G5" s="50">
        <f>G14</f>
        <v>45148</v>
      </c>
      <c r="H5" s="51"/>
      <c r="I5" s="50">
        <f>I14</f>
        <v>45149</v>
      </c>
      <c r="J5" s="51"/>
      <c r="K5" s="50">
        <f>K14</f>
        <v>45150</v>
      </c>
      <c r="L5" s="51"/>
      <c r="M5" s="50">
        <f>M14</f>
        <v>45151</v>
      </c>
      <c r="N5" s="5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26"/>
      <c r="B7" s="22"/>
      <c r="C7" s="34"/>
      <c r="D7" s="22"/>
      <c r="E7" s="26"/>
      <c r="F7" s="22"/>
      <c r="G7" s="34"/>
      <c r="H7" s="22"/>
      <c r="I7" s="34"/>
      <c r="J7" s="22"/>
      <c r="K7" s="34"/>
      <c r="L7" s="22"/>
      <c r="M7" s="34" t="s">
        <v>50</v>
      </c>
      <c r="N7" s="22"/>
    </row>
    <row r="8" spans="1:14" ht="14.1">
      <c r="A8" s="25"/>
      <c r="B8" s="22"/>
      <c r="C8" s="24"/>
      <c r="D8" s="22"/>
      <c r="E8" s="24"/>
      <c r="F8" s="22"/>
      <c r="G8" s="24"/>
      <c r="H8" s="22"/>
      <c r="I8" s="24"/>
      <c r="J8" s="22"/>
      <c r="K8" s="24"/>
      <c r="L8" s="22"/>
      <c r="M8" s="24" t="s">
        <v>12</v>
      </c>
      <c r="N8" s="22"/>
    </row>
    <row r="9" spans="1:14" ht="14.1">
      <c r="A9" s="23"/>
      <c r="B9" s="22"/>
      <c r="C9" s="33"/>
      <c r="D9" s="22"/>
      <c r="E9" s="23"/>
      <c r="F9" s="22"/>
      <c r="G9" s="33"/>
      <c r="H9" s="22"/>
      <c r="I9" s="33"/>
      <c r="J9" s="22"/>
      <c r="K9" s="33"/>
      <c r="L9" s="22"/>
      <c r="M9" s="33" t="s">
        <v>53</v>
      </c>
      <c r="N9" s="22"/>
    </row>
    <row r="10" spans="1:14" ht="14.1">
      <c r="A10" s="21"/>
      <c r="B10" s="22"/>
      <c r="C10" s="27"/>
      <c r="D10" s="22"/>
      <c r="E10" s="27"/>
      <c r="F10" s="22"/>
      <c r="G10" s="27"/>
      <c r="H10" s="22"/>
      <c r="I10" s="27"/>
      <c r="J10" s="22"/>
      <c r="K10" s="27"/>
      <c r="L10" s="22"/>
      <c r="M10" s="27" t="s">
        <v>24</v>
      </c>
      <c r="N10" s="22"/>
    </row>
    <row r="11" spans="1:14" ht="14.1">
      <c r="A11" s="59"/>
      <c r="B11" s="22"/>
      <c r="C11" s="60"/>
      <c r="D11" s="22"/>
      <c r="E11" s="60"/>
      <c r="F11" s="22"/>
      <c r="G11" s="60"/>
      <c r="H11" s="22"/>
      <c r="I11" s="60"/>
      <c r="J11" s="22"/>
      <c r="K11" s="60"/>
      <c r="L11" s="22"/>
      <c r="M11" s="60" t="s">
        <v>16</v>
      </c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 t="s">
        <v>36</v>
      </c>
      <c r="N12" s="22"/>
    </row>
    <row r="13" spans="1:14" ht="18" customHeight="1">
      <c r="A13" s="30"/>
      <c r="B13" s="22"/>
      <c r="C13" s="32"/>
      <c r="D13" s="31"/>
      <c r="E13" s="32"/>
      <c r="F13" s="31"/>
      <c r="G13" s="32"/>
      <c r="H13" s="31"/>
      <c r="I13" s="32"/>
      <c r="J13" s="31"/>
      <c r="K13" s="32"/>
      <c r="L13" s="31"/>
      <c r="M13" s="32" t="s">
        <v>30</v>
      </c>
      <c r="N13" s="31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26" t="s">
        <v>52</v>
      </c>
      <c r="B15" s="22"/>
      <c r="C15" s="26" t="s">
        <v>50</v>
      </c>
      <c r="D15" s="22"/>
      <c r="E15" s="26" t="s">
        <v>50</v>
      </c>
      <c r="F15" s="22"/>
      <c r="G15" s="26" t="s">
        <v>50</v>
      </c>
      <c r="H15" s="22"/>
      <c r="I15" s="26" t="s">
        <v>24</v>
      </c>
      <c r="J15" s="22"/>
      <c r="K15" s="26" t="s">
        <v>24</v>
      </c>
      <c r="L15" s="22"/>
      <c r="M15" s="26" t="s">
        <v>24</v>
      </c>
      <c r="N15" s="22"/>
    </row>
    <row r="16" spans="1:14" ht="14.1">
      <c r="A16" s="25" t="s">
        <v>12</v>
      </c>
      <c r="B16" s="22"/>
      <c r="C16" s="25" t="s">
        <v>12</v>
      </c>
      <c r="D16" s="22"/>
      <c r="E16" s="25" t="s">
        <v>12</v>
      </c>
      <c r="F16" s="22"/>
      <c r="G16" s="25" t="s">
        <v>12</v>
      </c>
      <c r="H16" s="22"/>
      <c r="I16" s="24" t="s">
        <v>42</v>
      </c>
      <c r="J16" s="22"/>
      <c r="K16" s="24" t="s">
        <v>42</v>
      </c>
      <c r="L16" s="22"/>
      <c r="M16" s="24" t="s">
        <v>42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33" t="s">
        <v>11</v>
      </c>
      <c r="J17" s="22"/>
      <c r="K17" s="33" t="s">
        <v>11</v>
      </c>
      <c r="L17" s="22"/>
      <c r="M17" s="33" t="s">
        <v>11</v>
      </c>
      <c r="N17" s="22"/>
    </row>
    <row r="18" spans="1:14" ht="14.1">
      <c r="A18" s="21" t="s">
        <v>24</v>
      </c>
      <c r="B18" s="22"/>
      <c r="C18" s="21" t="s">
        <v>24</v>
      </c>
      <c r="D18" s="22"/>
      <c r="E18" s="21" t="s">
        <v>24</v>
      </c>
      <c r="F18" s="22"/>
      <c r="G18" s="21" t="s">
        <v>24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97</v>
      </c>
      <c r="B20" s="22"/>
      <c r="C20" s="28" t="s">
        <v>27</v>
      </c>
      <c r="D20" s="22"/>
      <c r="E20" s="29" t="s">
        <v>98</v>
      </c>
      <c r="F20" s="22"/>
      <c r="G20" s="28" t="s">
        <v>17</v>
      </c>
      <c r="H20" s="22"/>
      <c r="I20" s="28" t="s">
        <v>27</v>
      </c>
      <c r="J20" s="22"/>
      <c r="K20" s="28" t="s">
        <v>19</v>
      </c>
      <c r="L20" s="22"/>
      <c r="M20" s="28" t="s">
        <v>19</v>
      </c>
      <c r="N20" s="22"/>
    </row>
    <row r="21" spans="1:14" ht="18" customHeight="1">
      <c r="A21" s="30" t="s">
        <v>30</v>
      </c>
      <c r="B21" s="22"/>
      <c r="C21" s="30" t="s">
        <v>30</v>
      </c>
      <c r="D21" s="22"/>
      <c r="E21" s="30" t="s">
        <v>30</v>
      </c>
      <c r="F21" s="22"/>
      <c r="G21" s="30" t="s">
        <v>29</v>
      </c>
      <c r="H21" s="22"/>
      <c r="I21" s="30" t="s">
        <v>30</v>
      </c>
      <c r="J21" s="22"/>
      <c r="K21" s="30" t="s">
        <v>30</v>
      </c>
      <c r="L21" s="22"/>
      <c r="M21" s="30" t="s">
        <v>30</v>
      </c>
      <c r="N21" s="22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26" t="s">
        <v>11</v>
      </c>
      <c r="B23" s="22"/>
      <c r="C23" s="26" t="s">
        <v>11</v>
      </c>
      <c r="D23" s="22"/>
      <c r="E23" s="26" t="s">
        <v>11</v>
      </c>
      <c r="F23" s="22"/>
      <c r="G23" s="26" t="s">
        <v>11</v>
      </c>
      <c r="H23" s="22"/>
      <c r="I23" s="26" t="s">
        <v>24</v>
      </c>
      <c r="J23" s="22"/>
      <c r="K23" s="26" t="s">
        <v>24</v>
      </c>
      <c r="L23" s="22"/>
      <c r="M23" s="26" t="s">
        <v>24</v>
      </c>
      <c r="N23" s="22"/>
    </row>
    <row r="24" spans="1:14" ht="14.1">
      <c r="A24" s="25" t="s">
        <v>42</v>
      </c>
      <c r="B24" s="22"/>
      <c r="C24" s="25" t="s">
        <v>42</v>
      </c>
      <c r="D24" s="22"/>
      <c r="E24" s="25" t="s">
        <v>42</v>
      </c>
      <c r="F24" s="22"/>
      <c r="G24" s="25" t="s">
        <v>42</v>
      </c>
      <c r="H24" s="22"/>
      <c r="I24" s="24" t="s">
        <v>54</v>
      </c>
      <c r="J24" s="22"/>
      <c r="K24" s="24" t="s">
        <v>54</v>
      </c>
      <c r="L24" s="22"/>
      <c r="M24" s="24" t="s">
        <v>54</v>
      </c>
      <c r="N24" s="22"/>
    </row>
    <row r="25" spans="1:14" ht="14.1">
      <c r="A25" s="23" t="s">
        <v>59</v>
      </c>
      <c r="B25" s="22"/>
      <c r="C25" s="23" t="s">
        <v>59</v>
      </c>
      <c r="D25" s="22"/>
      <c r="E25" s="23" t="s">
        <v>59</v>
      </c>
      <c r="F25" s="22"/>
      <c r="G25" s="23" t="s">
        <v>59</v>
      </c>
      <c r="H25" s="22"/>
      <c r="I25" s="23" t="s">
        <v>59</v>
      </c>
      <c r="J25" s="22"/>
      <c r="K25" s="33" t="s">
        <v>40</v>
      </c>
      <c r="L25" s="22"/>
      <c r="M25" s="33" t="s">
        <v>40</v>
      </c>
      <c r="N25" s="22"/>
    </row>
    <row r="26" spans="1:14" ht="14.1">
      <c r="A26" s="21" t="s">
        <v>15</v>
      </c>
      <c r="B26" s="22"/>
      <c r="C26" s="21" t="s">
        <v>15</v>
      </c>
      <c r="D26" s="22"/>
      <c r="E26" s="21" t="s">
        <v>15</v>
      </c>
      <c r="F26" s="22"/>
      <c r="G26" s="21" t="s">
        <v>15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71</v>
      </c>
      <c r="B28" s="22"/>
      <c r="C28" s="28" t="s">
        <v>97</v>
      </c>
      <c r="D28" s="22"/>
      <c r="E28" s="29" t="s">
        <v>28</v>
      </c>
      <c r="F28" s="22"/>
      <c r="G28" s="28" t="s">
        <v>17</v>
      </c>
      <c r="H28" s="22"/>
      <c r="I28" s="28" t="s">
        <v>26</v>
      </c>
      <c r="J28" s="22"/>
      <c r="K28" s="28" t="s">
        <v>71</v>
      </c>
      <c r="L28" s="22"/>
      <c r="M28" s="28" t="s">
        <v>19</v>
      </c>
      <c r="N28" s="22"/>
    </row>
    <row r="29" spans="1:14" ht="18" customHeight="1">
      <c r="A29" s="30" t="s">
        <v>99</v>
      </c>
      <c r="B29" s="22"/>
      <c r="C29" s="30" t="s">
        <v>50</v>
      </c>
      <c r="D29" s="22"/>
      <c r="E29" s="30" t="s">
        <v>50</v>
      </c>
      <c r="F29" s="22"/>
      <c r="G29" s="30" t="s">
        <v>63</v>
      </c>
      <c r="H29" s="22"/>
      <c r="I29" s="30" t="s">
        <v>63</v>
      </c>
      <c r="J29" s="22"/>
      <c r="K29" s="30" t="s">
        <v>74</v>
      </c>
      <c r="L29" s="22"/>
      <c r="M29" s="30" t="s">
        <v>21</v>
      </c>
      <c r="N29" s="22"/>
    </row>
    <row r="30" spans="1:14" ht="18" customHeight="1">
      <c r="A30" s="4">
        <f>M22+1</f>
        <v>45159</v>
      </c>
      <c r="B30" s="5"/>
      <c r="C30" s="4">
        <f>A30+1</f>
        <v>45160</v>
      </c>
      <c r="D30" s="5"/>
      <c r="E30" s="4">
        <f>C30+1</f>
        <v>45161</v>
      </c>
      <c r="F30" s="5"/>
      <c r="G30" s="4">
        <f>E30+1</f>
        <v>45162</v>
      </c>
      <c r="H30" s="5"/>
      <c r="I30" s="4">
        <f>G30+1</f>
        <v>45163</v>
      </c>
      <c r="J30" s="5"/>
      <c r="K30" s="4">
        <f>I30+1</f>
        <v>45164</v>
      </c>
      <c r="L30" s="5"/>
      <c r="M30" s="4">
        <f>K30+1</f>
        <v>45165</v>
      </c>
      <c r="N30" s="5"/>
    </row>
    <row r="31" spans="1:14" ht="14.1">
      <c r="A31" s="26" t="s">
        <v>24</v>
      </c>
      <c r="B31" s="22"/>
      <c r="C31" s="26" t="s">
        <v>24</v>
      </c>
      <c r="D31" s="22"/>
      <c r="E31" s="26" t="s">
        <v>24</v>
      </c>
      <c r="F31" s="22"/>
      <c r="G31" s="26" t="s">
        <v>24</v>
      </c>
      <c r="H31" s="22"/>
      <c r="I31" s="34" t="s">
        <v>92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25" t="s">
        <v>54</v>
      </c>
      <c r="B32" s="22"/>
      <c r="C32" s="25" t="s">
        <v>54</v>
      </c>
      <c r="D32" s="22"/>
      <c r="E32" s="25" t="s">
        <v>54</v>
      </c>
      <c r="F32" s="22"/>
      <c r="G32" s="25" t="s">
        <v>54</v>
      </c>
      <c r="H32" s="22"/>
      <c r="I32" s="24" t="s">
        <v>16</v>
      </c>
      <c r="J32" s="22"/>
      <c r="K32" s="24" t="s">
        <v>16</v>
      </c>
      <c r="L32" s="22"/>
      <c r="M32" s="24" t="s">
        <v>16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13</v>
      </c>
      <c r="J33" s="22"/>
      <c r="K33" s="33" t="s">
        <v>100</v>
      </c>
      <c r="L33" s="22"/>
      <c r="M33" s="33" t="s">
        <v>100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89</v>
      </c>
      <c r="F34" s="22"/>
      <c r="G34" s="21" t="s">
        <v>89</v>
      </c>
      <c r="H34" s="22"/>
      <c r="I34" s="21" t="s">
        <v>89</v>
      </c>
      <c r="J34" s="22"/>
      <c r="K34" s="21" t="s">
        <v>89</v>
      </c>
      <c r="L34" s="22"/>
      <c r="M34" s="21" t="s">
        <v>89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13</v>
      </c>
      <c r="J35" s="22"/>
      <c r="K35" s="59" t="s">
        <v>13</v>
      </c>
      <c r="L35" s="22"/>
      <c r="M35" s="59" t="s">
        <v>13</v>
      </c>
      <c r="N35" s="22"/>
    </row>
    <row r="36" spans="1:14" ht="14.1">
      <c r="A36" s="29" t="s">
        <v>27</v>
      </c>
      <c r="B36" s="22"/>
      <c r="C36" s="28" t="s">
        <v>17</v>
      </c>
      <c r="D36" s="22"/>
      <c r="E36" s="29" t="s">
        <v>101</v>
      </c>
      <c r="F36" s="22"/>
      <c r="G36" s="28" t="s">
        <v>17</v>
      </c>
      <c r="H36" s="22"/>
      <c r="I36" s="28" t="s">
        <v>28</v>
      </c>
      <c r="J36" s="22"/>
      <c r="K36" s="28" t="s">
        <v>36</v>
      </c>
      <c r="L36" s="22"/>
      <c r="M36" s="28" t="s">
        <v>36</v>
      </c>
      <c r="N36" s="22"/>
    </row>
    <row r="37" spans="1:14" ht="18" customHeight="1">
      <c r="A37" s="30" t="s">
        <v>50</v>
      </c>
      <c r="B37" s="22"/>
      <c r="C37" s="30" t="s">
        <v>63</v>
      </c>
      <c r="D37" s="22"/>
      <c r="E37" s="30" t="s">
        <v>50</v>
      </c>
      <c r="F37" s="22"/>
      <c r="G37" s="30" t="s">
        <v>63</v>
      </c>
      <c r="H37" s="22"/>
      <c r="I37" s="30" t="s">
        <v>50</v>
      </c>
      <c r="J37" s="22"/>
      <c r="K37" s="30" t="s">
        <v>50</v>
      </c>
      <c r="L37" s="22"/>
      <c r="M37" s="30" t="s">
        <v>50</v>
      </c>
      <c r="N37" s="22"/>
    </row>
    <row r="38" spans="1:14" ht="18" customHeight="1">
      <c r="A38" s="4">
        <f>IF(M30="","",IF(MONTH(M30+1)&lt;&gt;MONTH($A$1),"",M30+1))</f>
        <v>45166</v>
      </c>
      <c r="B38" s="5"/>
      <c r="C38" s="4">
        <f>IF(A38="","",IF(MONTH(A38+1)&lt;&gt;MONTH($A$1),"",A38+1))</f>
        <v>45167</v>
      </c>
      <c r="D38" s="5"/>
      <c r="E38" s="4">
        <f>IF(C38="","",IF(MONTH(C38+1)&lt;&gt;MONTH($A$1),"",C38+1))</f>
        <v>45168</v>
      </c>
      <c r="F38" s="5"/>
      <c r="G38" s="4">
        <f>IF(E38="","",IF(MONTH(E38+1)&lt;&gt;MONTH($A$1),"",E38+1))</f>
        <v>45169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9</v>
      </c>
      <c r="B39" s="22"/>
      <c r="C39" s="26" t="s">
        <v>9</v>
      </c>
      <c r="D39" s="22"/>
      <c r="E39" s="26" t="s">
        <v>9</v>
      </c>
      <c r="F39" s="22"/>
      <c r="G39" s="26" t="s">
        <v>9</v>
      </c>
      <c r="H39" s="22"/>
      <c r="I39" s="34" t="s">
        <v>52</v>
      </c>
      <c r="J39" s="22"/>
      <c r="K39" s="34" t="s">
        <v>50</v>
      </c>
      <c r="L39" s="22"/>
      <c r="M39" s="34" t="s">
        <v>50</v>
      </c>
      <c r="N39" s="22"/>
    </row>
    <row r="40" spans="1:14" ht="14.1">
      <c r="A40" s="25" t="s">
        <v>16</v>
      </c>
      <c r="B40" s="22"/>
      <c r="C40" s="25" t="s">
        <v>16</v>
      </c>
      <c r="D40" s="22"/>
      <c r="E40" s="25" t="s">
        <v>16</v>
      </c>
      <c r="F40" s="22"/>
      <c r="G40" s="25" t="s">
        <v>16</v>
      </c>
      <c r="H40" s="22"/>
      <c r="I40" s="24" t="s">
        <v>25</v>
      </c>
      <c r="J40" s="22"/>
      <c r="K40" s="24" t="s">
        <v>25</v>
      </c>
      <c r="L40" s="22"/>
      <c r="M40" s="24" t="s">
        <v>25</v>
      </c>
      <c r="N40" s="22"/>
    </row>
    <row r="41" spans="1:14" ht="14.1">
      <c r="A41" s="23" t="s">
        <v>13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33" t="s">
        <v>9</v>
      </c>
      <c r="J41" s="22"/>
      <c r="K41" s="33" t="s">
        <v>53</v>
      </c>
      <c r="L41" s="22"/>
      <c r="M41" s="33" t="s">
        <v>53</v>
      </c>
      <c r="N41" s="22"/>
    </row>
    <row r="42" spans="1:14" ht="14.1">
      <c r="A42" s="21" t="s">
        <v>89</v>
      </c>
      <c r="B42" s="22"/>
      <c r="C42" s="21" t="s">
        <v>89</v>
      </c>
      <c r="D42" s="22"/>
      <c r="E42" s="21" t="s">
        <v>89</v>
      </c>
      <c r="F42" s="22"/>
      <c r="G42" s="21" t="s">
        <v>89</v>
      </c>
      <c r="H42" s="22"/>
      <c r="I42" s="21" t="s">
        <v>89</v>
      </c>
      <c r="J42" s="22"/>
      <c r="K42" s="27" t="s">
        <v>15</v>
      </c>
      <c r="L42" s="22"/>
      <c r="M42" s="27" t="s">
        <v>15</v>
      </c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60" t="s">
        <v>16</v>
      </c>
      <c r="J43" s="22"/>
      <c r="K43" s="60" t="s">
        <v>16</v>
      </c>
      <c r="L43" s="22"/>
      <c r="M43" s="60" t="s">
        <v>16</v>
      </c>
      <c r="N43" s="22"/>
    </row>
    <row r="44" spans="1:14" ht="14.1">
      <c r="A44" s="29" t="s">
        <v>28</v>
      </c>
      <c r="B44" s="22"/>
      <c r="C44" s="28" t="s">
        <v>17</v>
      </c>
      <c r="D44" s="22"/>
      <c r="E44" s="29" t="s">
        <v>28</v>
      </c>
      <c r="F44" s="22"/>
      <c r="G44" s="28" t="s">
        <v>26</v>
      </c>
      <c r="H44" s="22"/>
      <c r="I44" s="28" t="s">
        <v>17</v>
      </c>
      <c r="J44" s="22"/>
      <c r="K44" s="28" t="s">
        <v>26</v>
      </c>
      <c r="L44" s="22"/>
      <c r="M44" s="28" t="s">
        <v>17</v>
      </c>
      <c r="N44" s="22"/>
    </row>
    <row r="45" spans="1:14" ht="18" customHeight="1">
      <c r="A45" s="30" t="s">
        <v>30</v>
      </c>
      <c r="B45" s="22"/>
      <c r="C45" s="30" t="s">
        <v>29</v>
      </c>
      <c r="D45" s="22"/>
      <c r="E45" s="30" t="s">
        <v>30</v>
      </c>
      <c r="F45" s="22"/>
      <c r="G45" s="30" t="s">
        <v>29</v>
      </c>
      <c r="H45" s="22"/>
      <c r="I45" s="30" t="s">
        <v>29</v>
      </c>
      <c r="J45" s="22"/>
      <c r="K45" s="30" t="s">
        <v>41</v>
      </c>
      <c r="L45" s="22"/>
      <c r="M45" s="30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 t="s">
        <v>49</v>
      </c>
      <c r="B47" s="22"/>
      <c r="C47" s="26" t="s">
        <v>50</v>
      </c>
      <c r="D47" s="22"/>
      <c r="E47" s="35" t="s">
        <v>102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 t="s">
        <v>25</v>
      </c>
      <c r="B48" s="22"/>
      <c r="C48" s="24" t="s">
        <v>25</v>
      </c>
      <c r="D48" s="22"/>
      <c r="E48" s="35" t="s">
        <v>103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 t="s">
        <v>31</v>
      </c>
      <c r="B49" s="22"/>
      <c r="C49" s="23" t="s">
        <v>9</v>
      </c>
      <c r="D49" s="22"/>
      <c r="E49" s="35" t="s">
        <v>104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 t="s">
        <v>15</v>
      </c>
      <c r="B50" s="22"/>
      <c r="C50" s="27" t="s">
        <v>24</v>
      </c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16</v>
      </c>
      <c r="B51" s="22"/>
      <c r="C51" s="59" t="s">
        <v>16</v>
      </c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27</v>
      </c>
      <c r="B52" s="22"/>
      <c r="C52" s="28" t="s">
        <v>27</v>
      </c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 t="s">
        <v>30</v>
      </c>
      <c r="B53" s="22"/>
      <c r="C53" s="30" t="s">
        <v>30</v>
      </c>
      <c r="D53" s="22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EDATE('©'!A17,14)</f>
        <v>45170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SEPTEMBER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45173</v>
      </c>
      <c r="B5" s="51"/>
      <c r="C5" s="50">
        <f>C14</f>
        <v>45174</v>
      </c>
      <c r="D5" s="51"/>
      <c r="E5" s="50">
        <f>E14</f>
        <v>45175</v>
      </c>
      <c r="F5" s="51"/>
      <c r="G5" s="50">
        <f>G14</f>
        <v>45176</v>
      </c>
      <c r="H5" s="51"/>
      <c r="I5" s="50">
        <f>I14</f>
        <v>45177</v>
      </c>
      <c r="J5" s="51"/>
      <c r="K5" s="50">
        <f>K14</f>
        <v>45178</v>
      </c>
      <c r="L5" s="51"/>
      <c r="M5" s="50">
        <f>M14</f>
        <v>45179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26"/>
      <c r="B7" s="22"/>
      <c r="C7" s="34"/>
      <c r="D7" s="22"/>
      <c r="E7" s="26" t="s">
        <v>50</v>
      </c>
      <c r="F7" s="22"/>
      <c r="G7" s="26" t="s">
        <v>50</v>
      </c>
      <c r="H7" s="22"/>
      <c r="I7" s="34" t="s">
        <v>105</v>
      </c>
      <c r="J7" s="22"/>
      <c r="K7" s="34" t="s">
        <v>105</v>
      </c>
      <c r="L7" s="22"/>
      <c r="M7" s="34" t="s">
        <v>105</v>
      </c>
      <c r="N7" s="22"/>
    </row>
    <row r="8" spans="1:14" ht="14.1">
      <c r="A8" s="25"/>
      <c r="B8" s="22"/>
      <c r="C8" s="24"/>
      <c r="D8" s="22"/>
      <c r="E8" s="24" t="s">
        <v>25</v>
      </c>
      <c r="F8" s="22"/>
      <c r="G8" s="24" t="s">
        <v>25</v>
      </c>
      <c r="H8" s="22"/>
      <c r="I8" s="24" t="s">
        <v>51</v>
      </c>
      <c r="J8" s="22"/>
      <c r="K8" s="24" t="s">
        <v>51</v>
      </c>
      <c r="L8" s="22"/>
      <c r="M8" s="24" t="s">
        <v>51</v>
      </c>
      <c r="N8" s="22"/>
    </row>
    <row r="9" spans="1:14" ht="14.1">
      <c r="A9" s="23"/>
      <c r="B9" s="22"/>
      <c r="C9" s="33"/>
      <c r="D9" s="22"/>
      <c r="E9" s="23" t="s">
        <v>9</v>
      </c>
      <c r="F9" s="22"/>
      <c r="G9" s="23" t="s">
        <v>9</v>
      </c>
      <c r="H9" s="22"/>
      <c r="I9" s="23" t="s">
        <v>13</v>
      </c>
      <c r="J9" s="22"/>
      <c r="K9" s="23" t="s">
        <v>11</v>
      </c>
      <c r="L9" s="22"/>
      <c r="M9" s="23" t="s">
        <v>11</v>
      </c>
      <c r="N9" s="22"/>
    </row>
    <row r="10" spans="1:14" ht="14.1">
      <c r="A10" s="21"/>
      <c r="B10" s="22"/>
      <c r="C10" s="27"/>
      <c r="D10" s="22"/>
      <c r="E10" s="27" t="s">
        <v>24</v>
      </c>
      <c r="F10" s="22"/>
      <c r="G10" s="27" t="s">
        <v>24</v>
      </c>
      <c r="H10" s="22"/>
      <c r="I10" s="27" t="s">
        <v>24</v>
      </c>
      <c r="J10" s="22"/>
      <c r="K10" s="27" t="s">
        <v>24</v>
      </c>
      <c r="L10" s="22"/>
      <c r="M10" s="27" t="s">
        <v>24</v>
      </c>
      <c r="N10" s="22"/>
    </row>
    <row r="11" spans="1:14" ht="14.1">
      <c r="A11" s="59"/>
      <c r="B11" s="22"/>
      <c r="C11" s="60"/>
      <c r="D11" s="22"/>
      <c r="E11" s="60" t="s">
        <v>16</v>
      </c>
      <c r="F11" s="22"/>
      <c r="G11" s="60" t="s">
        <v>16</v>
      </c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28"/>
      <c r="D12" s="22"/>
      <c r="E12" s="29" t="s">
        <v>26</v>
      </c>
      <c r="F12" s="22"/>
      <c r="G12" s="28" t="s">
        <v>26</v>
      </c>
      <c r="H12" s="22"/>
      <c r="I12" s="28" t="s">
        <v>27</v>
      </c>
      <c r="J12" s="22"/>
      <c r="K12" s="28" t="s">
        <v>19</v>
      </c>
      <c r="L12" s="22"/>
      <c r="M12" s="28" t="s">
        <v>19</v>
      </c>
      <c r="N12" s="22"/>
    </row>
    <row r="13" spans="1:14" ht="18" customHeight="1">
      <c r="A13" s="30"/>
      <c r="B13" s="22"/>
      <c r="C13" s="32"/>
      <c r="D13" s="31"/>
      <c r="E13" s="32" t="s">
        <v>30</v>
      </c>
      <c r="F13" s="31"/>
      <c r="G13" s="32" t="s">
        <v>29</v>
      </c>
      <c r="H13" s="31"/>
      <c r="I13" s="32" t="s">
        <v>30</v>
      </c>
      <c r="J13" s="31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26" t="s">
        <v>105</v>
      </c>
      <c r="B15" s="22"/>
      <c r="C15" s="26" t="s">
        <v>24</v>
      </c>
      <c r="D15" s="22"/>
      <c r="E15" s="26" t="s">
        <v>105</v>
      </c>
      <c r="F15" s="22"/>
      <c r="G15" s="26" t="s">
        <v>24</v>
      </c>
      <c r="H15" s="22"/>
      <c r="I15" s="34" t="s">
        <v>24</v>
      </c>
      <c r="J15" s="22"/>
      <c r="K15" s="34" t="s">
        <v>24</v>
      </c>
      <c r="L15" s="22"/>
      <c r="M15" s="34" t="s">
        <v>24</v>
      </c>
      <c r="N15" s="22"/>
    </row>
    <row r="16" spans="1:14" ht="14.1">
      <c r="A16" s="25" t="s">
        <v>51</v>
      </c>
      <c r="B16" s="22"/>
      <c r="C16" s="25" t="s">
        <v>51</v>
      </c>
      <c r="D16" s="22"/>
      <c r="E16" s="25" t="s">
        <v>51</v>
      </c>
      <c r="F16" s="22"/>
      <c r="G16" s="25" t="s">
        <v>51</v>
      </c>
      <c r="H16" s="22"/>
      <c r="I16" s="24" t="s">
        <v>59</v>
      </c>
      <c r="J16" s="22"/>
      <c r="K16" s="24" t="s">
        <v>59</v>
      </c>
      <c r="L16" s="22"/>
      <c r="M16" s="24" t="s">
        <v>59</v>
      </c>
      <c r="N16" s="22"/>
    </row>
    <row r="17" spans="1:14" ht="14.1">
      <c r="A17" s="23" t="s">
        <v>14</v>
      </c>
      <c r="B17" s="22"/>
      <c r="C17" s="23" t="s">
        <v>13</v>
      </c>
      <c r="D17" s="22"/>
      <c r="E17" s="23" t="s">
        <v>14</v>
      </c>
      <c r="F17" s="22"/>
      <c r="G17" s="23" t="s">
        <v>13</v>
      </c>
      <c r="H17" s="22"/>
      <c r="I17" s="33" t="s">
        <v>13</v>
      </c>
      <c r="J17" s="22"/>
      <c r="K17" s="33" t="s">
        <v>13</v>
      </c>
      <c r="L17" s="22"/>
      <c r="M17" s="33" t="s">
        <v>13</v>
      </c>
      <c r="N17" s="22"/>
    </row>
    <row r="18" spans="1:14" ht="14.1">
      <c r="A18" s="21" t="s">
        <v>24</v>
      </c>
      <c r="B18" s="22"/>
      <c r="C18" s="27" t="s">
        <v>89</v>
      </c>
      <c r="D18" s="22"/>
      <c r="E18" s="27" t="s">
        <v>89</v>
      </c>
      <c r="F18" s="22"/>
      <c r="G18" s="27" t="s">
        <v>89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28</v>
      </c>
      <c r="B20" s="22"/>
      <c r="C20" s="28" t="s">
        <v>106</v>
      </c>
      <c r="D20" s="22"/>
      <c r="E20" s="29" t="s">
        <v>107</v>
      </c>
      <c r="F20" s="22"/>
      <c r="G20" s="28" t="s">
        <v>17</v>
      </c>
      <c r="H20" s="22"/>
      <c r="I20" s="28" t="s">
        <v>28</v>
      </c>
      <c r="J20" s="22"/>
      <c r="K20" s="28" t="s">
        <v>108</v>
      </c>
      <c r="L20" s="22"/>
      <c r="M20" s="28" t="s">
        <v>36</v>
      </c>
      <c r="N20" s="22"/>
    </row>
    <row r="21" spans="1:14" ht="18" customHeight="1">
      <c r="A21" s="30" t="s">
        <v>50</v>
      </c>
      <c r="B21" s="22"/>
      <c r="C21" s="30" t="s">
        <v>50</v>
      </c>
      <c r="D21" s="22"/>
      <c r="E21" s="30" t="s">
        <v>50</v>
      </c>
      <c r="F21" s="22"/>
      <c r="G21" s="30" t="s">
        <v>63</v>
      </c>
      <c r="H21" s="22"/>
      <c r="I21" s="30" t="s">
        <v>50</v>
      </c>
      <c r="J21" s="22"/>
      <c r="K21" s="30" t="s">
        <v>50</v>
      </c>
      <c r="L21" s="22"/>
      <c r="M21" s="30" t="s">
        <v>50</v>
      </c>
      <c r="N21" s="22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26" t="s">
        <v>24</v>
      </c>
      <c r="B23" s="22"/>
      <c r="C23" s="26" t="s">
        <v>24</v>
      </c>
      <c r="D23" s="22"/>
      <c r="E23" s="26" t="s">
        <v>24</v>
      </c>
      <c r="F23" s="22"/>
      <c r="G23" s="26" t="s">
        <v>24</v>
      </c>
      <c r="H23" s="22"/>
      <c r="I23" s="26" t="s">
        <v>31</v>
      </c>
      <c r="J23" s="22"/>
      <c r="K23" s="26" t="s">
        <v>9</v>
      </c>
      <c r="L23" s="22"/>
      <c r="M23" s="26" t="s">
        <v>9</v>
      </c>
      <c r="N23" s="22"/>
    </row>
    <row r="24" spans="1:14" ht="14.1">
      <c r="A24" s="25" t="s">
        <v>59</v>
      </c>
      <c r="B24" s="22"/>
      <c r="C24" s="25" t="s">
        <v>59</v>
      </c>
      <c r="D24" s="22"/>
      <c r="E24" s="25" t="s">
        <v>59</v>
      </c>
      <c r="F24" s="22"/>
      <c r="G24" s="25" t="s">
        <v>59</v>
      </c>
      <c r="H24" s="22"/>
      <c r="I24" s="24" t="s">
        <v>12</v>
      </c>
      <c r="J24" s="22"/>
      <c r="K24" s="24" t="s">
        <v>12</v>
      </c>
      <c r="L24" s="22"/>
      <c r="M24" s="24" t="s">
        <v>12</v>
      </c>
      <c r="N24" s="22"/>
    </row>
    <row r="25" spans="1:14" ht="14.1">
      <c r="A25" s="23" t="s">
        <v>9</v>
      </c>
      <c r="B25" s="22"/>
      <c r="C25" s="23" t="s">
        <v>9</v>
      </c>
      <c r="D25" s="22"/>
      <c r="E25" s="23" t="s">
        <v>9</v>
      </c>
      <c r="F25" s="22"/>
      <c r="G25" s="23" t="s">
        <v>9</v>
      </c>
      <c r="H25" s="22"/>
      <c r="I25" s="23" t="s">
        <v>11</v>
      </c>
      <c r="J25" s="22"/>
      <c r="K25" s="33" t="s">
        <v>39</v>
      </c>
      <c r="L25" s="22"/>
      <c r="M25" s="33" t="s">
        <v>39</v>
      </c>
      <c r="N25" s="22"/>
    </row>
    <row r="26" spans="1:14" ht="14.1">
      <c r="A26" s="21" t="s">
        <v>24</v>
      </c>
      <c r="B26" s="22"/>
      <c r="C26" s="21" t="s">
        <v>24</v>
      </c>
      <c r="D26" s="22"/>
      <c r="E26" s="21" t="s">
        <v>24</v>
      </c>
      <c r="F26" s="22"/>
      <c r="G26" s="21" t="s">
        <v>15</v>
      </c>
      <c r="H26" s="22"/>
      <c r="I26" s="21" t="s">
        <v>89</v>
      </c>
      <c r="J26" s="22"/>
      <c r="K26" s="21" t="s">
        <v>89</v>
      </c>
      <c r="L26" s="22"/>
      <c r="M26" s="21" t="s">
        <v>89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28" t="s">
        <v>26</v>
      </c>
      <c r="D28" s="22"/>
      <c r="E28" s="29" t="s">
        <v>28</v>
      </c>
      <c r="F28" s="22"/>
      <c r="G28" s="28" t="s">
        <v>26</v>
      </c>
      <c r="H28" s="22"/>
      <c r="I28" s="28" t="s">
        <v>97</v>
      </c>
      <c r="J28" s="22"/>
      <c r="K28" s="28" t="s">
        <v>26</v>
      </c>
      <c r="L28" s="22"/>
      <c r="M28" s="28" t="s">
        <v>26</v>
      </c>
      <c r="N28" s="22"/>
    </row>
    <row r="29" spans="1:14" ht="18" customHeight="1">
      <c r="A29" s="30" t="s">
        <v>50</v>
      </c>
      <c r="B29" s="22"/>
      <c r="C29" s="30" t="s">
        <v>61</v>
      </c>
      <c r="D29" s="22"/>
      <c r="E29" s="30" t="s">
        <v>50</v>
      </c>
      <c r="F29" s="22"/>
      <c r="G29" s="30" t="s">
        <v>61</v>
      </c>
      <c r="H29" s="22"/>
      <c r="I29" s="30" t="s">
        <v>50</v>
      </c>
      <c r="J29" s="22"/>
      <c r="K29" s="30" t="s">
        <v>74</v>
      </c>
      <c r="L29" s="22"/>
      <c r="M29" s="30" t="s">
        <v>74</v>
      </c>
      <c r="N29" s="22"/>
    </row>
    <row r="30" spans="1:14" ht="18" customHeight="1">
      <c r="A30" s="4">
        <f>M22+1</f>
        <v>45187</v>
      </c>
      <c r="B30" s="5"/>
      <c r="C30" s="4">
        <f>A30+1</f>
        <v>45188</v>
      </c>
      <c r="D30" s="5"/>
      <c r="E30" s="4">
        <f>C30+1</f>
        <v>45189</v>
      </c>
      <c r="F30" s="5"/>
      <c r="G30" s="4">
        <f>E30+1</f>
        <v>45190</v>
      </c>
      <c r="H30" s="5"/>
      <c r="I30" s="4">
        <f>G30+1</f>
        <v>45191</v>
      </c>
      <c r="J30" s="5"/>
      <c r="K30" s="4">
        <f>I30+1</f>
        <v>45192</v>
      </c>
      <c r="L30" s="5"/>
      <c r="M30" s="4">
        <f>K30+1</f>
        <v>45193</v>
      </c>
      <c r="N30" s="5"/>
    </row>
    <row r="31" spans="1:14" ht="14.1">
      <c r="A31" s="26" t="s">
        <v>31</v>
      </c>
      <c r="B31" s="22"/>
      <c r="C31" s="26" t="s">
        <v>9</v>
      </c>
      <c r="D31" s="22"/>
      <c r="E31" s="26" t="s">
        <v>9</v>
      </c>
      <c r="F31" s="22"/>
      <c r="G31" s="26" t="s">
        <v>9</v>
      </c>
      <c r="H31" s="22"/>
      <c r="I31" s="34" t="s">
        <v>78</v>
      </c>
      <c r="J31" s="22"/>
      <c r="K31" s="34" t="s">
        <v>50</v>
      </c>
      <c r="L31" s="22"/>
      <c r="M31" s="34" t="s">
        <v>52</v>
      </c>
      <c r="N31" s="22"/>
    </row>
    <row r="32" spans="1:14" ht="14.1">
      <c r="A32" s="25" t="s">
        <v>12</v>
      </c>
      <c r="B32" s="22"/>
      <c r="C32" s="25" t="s">
        <v>12</v>
      </c>
      <c r="D32" s="22"/>
      <c r="E32" s="25" t="s">
        <v>12</v>
      </c>
      <c r="F32" s="22"/>
      <c r="G32" s="25" t="s">
        <v>12</v>
      </c>
      <c r="H32" s="22"/>
      <c r="I32" s="24" t="s">
        <v>54</v>
      </c>
      <c r="J32" s="22"/>
      <c r="K32" s="24" t="s">
        <v>54</v>
      </c>
      <c r="L32" s="22"/>
      <c r="M32" s="24" t="s">
        <v>54</v>
      </c>
      <c r="N32" s="22"/>
    </row>
    <row r="33" spans="1:14" ht="14.1">
      <c r="A33" s="23" t="s">
        <v>59</v>
      </c>
      <c r="B33" s="22"/>
      <c r="C33" s="23" t="s">
        <v>59</v>
      </c>
      <c r="D33" s="22"/>
      <c r="E33" s="23" t="s">
        <v>59</v>
      </c>
      <c r="F33" s="22"/>
      <c r="G33" s="23" t="s">
        <v>59</v>
      </c>
      <c r="H33" s="22"/>
      <c r="I33" s="23" t="s">
        <v>40</v>
      </c>
      <c r="J33" s="22"/>
      <c r="K33" s="23" t="s">
        <v>88</v>
      </c>
      <c r="L33" s="22"/>
      <c r="M33" s="23" t="s">
        <v>88</v>
      </c>
      <c r="N33" s="22"/>
    </row>
    <row r="34" spans="1:14" ht="14.1">
      <c r="A34" s="21" t="s">
        <v>15</v>
      </c>
      <c r="B34" s="22"/>
      <c r="C34" s="21" t="s">
        <v>15</v>
      </c>
      <c r="D34" s="22"/>
      <c r="E34" s="21" t="s">
        <v>24</v>
      </c>
      <c r="F34" s="22"/>
      <c r="G34" s="21" t="s">
        <v>15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28" t="s">
        <v>27</v>
      </c>
      <c r="D36" s="22"/>
      <c r="E36" s="29" t="s">
        <v>17</v>
      </c>
      <c r="F36" s="22"/>
      <c r="G36" s="28" t="s">
        <v>17</v>
      </c>
      <c r="H36" s="22"/>
      <c r="I36" s="28" t="s">
        <v>17</v>
      </c>
      <c r="J36" s="22"/>
      <c r="K36" s="28" t="s">
        <v>17</v>
      </c>
      <c r="L36" s="22"/>
      <c r="M36" s="28" t="s">
        <v>17</v>
      </c>
      <c r="N36" s="22"/>
    </row>
    <row r="37" spans="1:14" ht="18" customHeight="1">
      <c r="A37" s="30" t="s">
        <v>30</v>
      </c>
      <c r="B37" s="22"/>
      <c r="C37" s="30" t="s">
        <v>30</v>
      </c>
      <c r="D37" s="22"/>
      <c r="E37" s="30" t="s">
        <v>29</v>
      </c>
      <c r="F37" s="22"/>
      <c r="G37" s="30" t="s">
        <v>29</v>
      </c>
      <c r="H37" s="22"/>
      <c r="I37" s="30" t="s">
        <v>29</v>
      </c>
      <c r="J37" s="22"/>
      <c r="K37" s="30" t="s">
        <v>41</v>
      </c>
      <c r="L37" s="22"/>
      <c r="M37" s="30" t="s">
        <v>41</v>
      </c>
      <c r="N37" s="22"/>
    </row>
    <row r="38" spans="1:14" ht="18" customHeight="1">
      <c r="A38" s="4">
        <f>IF(M30="","",IF(MONTH(M30+1)&lt;&gt;MONTH($A$1),"",M30+1))</f>
        <v>45194</v>
      </c>
      <c r="B38" s="5"/>
      <c r="C38" s="4">
        <f>IF(A38="","",IF(MONTH(A38+1)&lt;&gt;MONTH($A$1),"",A38+1))</f>
        <v>45195</v>
      </c>
      <c r="D38" s="5"/>
      <c r="E38" s="4">
        <f>IF(C38="","",IF(MONTH(C38+1)&lt;&gt;MONTH($A$1),"",C38+1))</f>
        <v>45196</v>
      </c>
      <c r="F38" s="5"/>
      <c r="G38" s="4">
        <f>IF(E38="","",IF(MONTH(E38+1)&lt;&gt;MONTH($A$1),"",E38+1))</f>
        <v>45197</v>
      </c>
      <c r="H38" s="5"/>
      <c r="I38" s="4">
        <f>IF(G38="","",IF(MONTH(G38+1)&lt;&gt;MONTH($A$1),"",G38+1))</f>
        <v>45198</v>
      </c>
      <c r="J38" s="5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52</v>
      </c>
      <c r="B39" s="22"/>
      <c r="C39" s="26" t="s">
        <v>50</v>
      </c>
      <c r="D39" s="22"/>
      <c r="E39" s="26" t="s">
        <v>50</v>
      </c>
      <c r="F39" s="22"/>
      <c r="G39" s="26" t="s">
        <v>50</v>
      </c>
      <c r="H39" s="22"/>
      <c r="I39" s="34"/>
      <c r="J39" s="22"/>
      <c r="K39" s="34"/>
      <c r="L39" s="22"/>
      <c r="M39" s="34"/>
      <c r="N39" s="22"/>
    </row>
    <row r="40" spans="1:14" ht="14.1">
      <c r="A40" s="25" t="s">
        <v>54</v>
      </c>
      <c r="B40" s="22"/>
      <c r="C40" s="25" t="s">
        <v>54</v>
      </c>
      <c r="D40" s="22"/>
      <c r="E40" s="25" t="s">
        <v>54</v>
      </c>
      <c r="F40" s="22"/>
      <c r="G40" s="25" t="s">
        <v>54</v>
      </c>
      <c r="H40" s="22"/>
      <c r="I40" s="24"/>
      <c r="J40" s="22"/>
      <c r="K40" s="24"/>
      <c r="L40" s="22"/>
      <c r="M40" s="24"/>
      <c r="N40" s="22"/>
    </row>
    <row r="41" spans="1:14" ht="14.1">
      <c r="A41" s="23" t="s">
        <v>9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33"/>
      <c r="J41" s="22"/>
      <c r="K41" s="33"/>
      <c r="L41" s="22"/>
      <c r="M41" s="33"/>
      <c r="N41" s="22"/>
    </row>
    <row r="42" spans="1:14" ht="14.1">
      <c r="A42" s="21" t="s">
        <v>89</v>
      </c>
      <c r="B42" s="22"/>
      <c r="C42" s="21" t="s">
        <v>89</v>
      </c>
      <c r="D42" s="22"/>
      <c r="E42" s="21" t="s">
        <v>89</v>
      </c>
      <c r="F42" s="22"/>
      <c r="G42" s="21" t="s">
        <v>89</v>
      </c>
      <c r="H42" s="22"/>
      <c r="I42" s="27"/>
      <c r="J42" s="22"/>
      <c r="K42" s="27"/>
      <c r="L42" s="22"/>
      <c r="M42" s="27"/>
      <c r="N42" s="22"/>
    </row>
    <row r="43" spans="1:14" ht="14.1">
      <c r="A43" s="59" t="s">
        <v>43</v>
      </c>
      <c r="B43" s="22"/>
      <c r="C43" s="59" t="s">
        <v>43</v>
      </c>
      <c r="D43" s="22"/>
      <c r="E43" s="59" t="s">
        <v>43</v>
      </c>
      <c r="F43" s="22"/>
      <c r="G43" s="59" t="s">
        <v>43</v>
      </c>
      <c r="H43" s="22"/>
      <c r="I43" s="60"/>
      <c r="J43" s="22"/>
      <c r="K43" s="60"/>
      <c r="L43" s="22"/>
      <c r="M43" s="60"/>
      <c r="N43" s="22"/>
    </row>
    <row r="44" spans="1:14" ht="14.1">
      <c r="A44" s="29" t="s">
        <v>28</v>
      </c>
      <c r="B44" s="22"/>
      <c r="C44" s="28" t="s">
        <v>27</v>
      </c>
      <c r="D44" s="22"/>
      <c r="E44" s="29" t="s">
        <v>17</v>
      </c>
      <c r="F44" s="22"/>
      <c r="G44" s="28" t="s">
        <v>27</v>
      </c>
      <c r="H44" s="22"/>
      <c r="I44" s="28"/>
      <c r="J44" s="22"/>
      <c r="K44" s="28"/>
      <c r="L44" s="22"/>
      <c r="M44" s="28"/>
      <c r="N44" s="22"/>
    </row>
    <row r="45" spans="1:14" ht="18" customHeight="1">
      <c r="A45" s="30" t="s">
        <v>30</v>
      </c>
      <c r="B45" s="22"/>
      <c r="C45" s="30" t="s">
        <v>30</v>
      </c>
      <c r="D45" s="22"/>
      <c r="E45" s="30" t="s">
        <v>30</v>
      </c>
      <c r="F45" s="22"/>
      <c r="G45" s="30" t="s">
        <v>30</v>
      </c>
      <c r="H45" s="22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109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110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111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EDATE('©'!A17,15)</f>
        <v>45200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OCTOBER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45201</v>
      </c>
      <c r="B5" s="51"/>
      <c r="C5" s="50">
        <f>C14</f>
        <v>45202</v>
      </c>
      <c r="D5" s="51"/>
      <c r="E5" s="50">
        <f>E14</f>
        <v>45203</v>
      </c>
      <c r="F5" s="51"/>
      <c r="G5" s="50">
        <f>G14</f>
        <v>45204</v>
      </c>
      <c r="H5" s="51"/>
      <c r="I5" s="50">
        <f>I14</f>
        <v>45205</v>
      </c>
      <c r="J5" s="51"/>
      <c r="K5" s="50">
        <f>K14</f>
        <v>45206</v>
      </c>
      <c r="L5" s="51"/>
      <c r="M5" s="50">
        <f>M14</f>
        <v>45207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26"/>
      <c r="B7" s="22"/>
      <c r="C7" s="34"/>
      <c r="D7" s="22"/>
      <c r="E7" s="26"/>
      <c r="F7" s="22"/>
      <c r="G7" s="34"/>
      <c r="H7" s="22"/>
      <c r="I7" s="34" t="s">
        <v>105</v>
      </c>
      <c r="J7" s="22"/>
      <c r="K7" s="34" t="s">
        <v>105</v>
      </c>
      <c r="L7" s="22"/>
      <c r="M7" s="34" t="s">
        <v>105</v>
      </c>
      <c r="N7" s="22"/>
    </row>
    <row r="8" spans="1:14" ht="14.1">
      <c r="A8" s="25"/>
      <c r="B8" s="22"/>
      <c r="C8" s="24"/>
      <c r="D8" s="22"/>
      <c r="E8" s="24"/>
      <c r="F8" s="22"/>
      <c r="G8" s="24"/>
      <c r="H8" s="22"/>
      <c r="I8" s="24" t="s">
        <v>42</v>
      </c>
      <c r="J8" s="22"/>
      <c r="K8" s="24" t="s">
        <v>42</v>
      </c>
      <c r="L8" s="22"/>
      <c r="M8" s="24" t="s">
        <v>42</v>
      </c>
      <c r="N8" s="22"/>
    </row>
    <row r="9" spans="1:14" ht="14.1">
      <c r="A9" s="23"/>
      <c r="B9" s="22"/>
      <c r="C9" s="33"/>
      <c r="D9" s="22"/>
      <c r="E9" s="23"/>
      <c r="F9" s="22"/>
      <c r="G9" s="33"/>
      <c r="H9" s="22"/>
      <c r="I9" s="33" t="s">
        <v>9</v>
      </c>
      <c r="J9" s="22"/>
      <c r="K9" s="33" t="s">
        <v>31</v>
      </c>
      <c r="L9" s="22"/>
      <c r="M9" s="33" t="s">
        <v>31</v>
      </c>
      <c r="N9" s="22"/>
    </row>
    <row r="10" spans="1:14" ht="14.1">
      <c r="A10" s="21"/>
      <c r="B10" s="22"/>
      <c r="C10" s="27"/>
      <c r="D10" s="22"/>
      <c r="E10" s="27"/>
      <c r="F10" s="22"/>
      <c r="G10" s="27"/>
      <c r="H10" s="22"/>
      <c r="I10" s="27" t="s">
        <v>89</v>
      </c>
      <c r="J10" s="22"/>
      <c r="K10" s="27" t="s">
        <v>89</v>
      </c>
      <c r="L10" s="22"/>
      <c r="M10" s="27" t="s">
        <v>89</v>
      </c>
      <c r="N10" s="22"/>
    </row>
    <row r="11" spans="1:14" ht="14.1">
      <c r="A11" s="59"/>
      <c r="B11" s="22"/>
      <c r="C11" s="60"/>
      <c r="D11" s="22"/>
      <c r="E11" s="60"/>
      <c r="F11" s="22"/>
      <c r="G11" s="60"/>
      <c r="H11" s="22"/>
      <c r="I11" s="60" t="s">
        <v>43</v>
      </c>
      <c r="J11" s="22"/>
      <c r="K11" s="60" t="s">
        <v>43</v>
      </c>
      <c r="L11" s="22"/>
      <c r="M11" s="60" t="s">
        <v>43</v>
      </c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 t="s">
        <v>27</v>
      </c>
      <c r="J12" s="22"/>
      <c r="K12" s="28" t="s">
        <v>19</v>
      </c>
      <c r="L12" s="22"/>
      <c r="M12" s="28" t="s">
        <v>19</v>
      </c>
      <c r="N12" s="22"/>
    </row>
    <row r="13" spans="1:14" ht="18" customHeight="1">
      <c r="A13" s="30"/>
      <c r="B13" s="22"/>
      <c r="C13" s="32"/>
      <c r="D13" s="31"/>
      <c r="E13" s="32"/>
      <c r="F13" s="31"/>
      <c r="G13" s="32"/>
      <c r="H13" s="31"/>
      <c r="I13" s="32" t="s">
        <v>50</v>
      </c>
      <c r="J13" s="31"/>
      <c r="K13" s="32" t="s">
        <v>50</v>
      </c>
      <c r="L13" s="31"/>
      <c r="M13" s="32" t="s">
        <v>50</v>
      </c>
      <c r="N13" s="31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26" t="s">
        <v>105</v>
      </c>
      <c r="B15" s="22"/>
      <c r="C15" s="26" t="s">
        <v>105</v>
      </c>
      <c r="D15" s="22"/>
      <c r="E15" s="26" t="s">
        <v>85</v>
      </c>
      <c r="F15" s="22"/>
      <c r="G15" s="26" t="s">
        <v>105</v>
      </c>
      <c r="H15" s="22"/>
      <c r="I15" s="34" t="s">
        <v>105</v>
      </c>
      <c r="J15" s="22"/>
      <c r="K15" s="34" t="s">
        <v>105</v>
      </c>
      <c r="L15" s="22"/>
      <c r="M15" s="34" t="s">
        <v>105</v>
      </c>
      <c r="N15" s="22"/>
    </row>
    <row r="16" spans="1:14" ht="14.1">
      <c r="A16" s="25" t="s">
        <v>42</v>
      </c>
      <c r="B16" s="22"/>
      <c r="C16" s="25" t="s">
        <v>42</v>
      </c>
      <c r="D16" s="22"/>
      <c r="E16" s="25" t="s">
        <v>42</v>
      </c>
      <c r="F16" s="22"/>
      <c r="G16" s="25" t="s">
        <v>42</v>
      </c>
      <c r="H16" s="22"/>
      <c r="I16" s="25" t="s">
        <v>42</v>
      </c>
      <c r="J16" s="22"/>
      <c r="K16" s="24" t="s">
        <v>16</v>
      </c>
      <c r="L16" s="22"/>
      <c r="M16" s="24" t="s">
        <v>16</v>
      </c>
      <c r="N16" s="22"/>
    </row>
    <row r="17" spans="1:14" ht="14.1">
      <c r="A17" s="23" t="s">
        <v>31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23" t="s">
        <v>31</v>
      </c>
      <c r="J17" s="22"/>
      <c r="K17" s="33" t="s">
        <v>112</v>
      </c>
      <c r="L17" s="22"/>
      <c r="M17" s="33" t="s">
        <v>112</v>
      </c>
      <c r="N17" s="22"/>
    </row>
    <row r="18" spans="1:14" ht="14.1">
      <c r="A18" s="21" t="s">
        <v>89</v>
      </c>
      <c r="B18" s="22"/>
      <c r="C18" s="27" t="s">
        <v>15</v>
      </c>
      <c r="D18" s="22"/>
      <c r="E18" s="27" t="s">
        <v>15</v>
      </c>
      <c r="F18" s="22"/>
      <c r="G18" s="27" t="s">
        <v>24</v>
      </c>
      <c r="H18" s="22"/>
      <c r="I18" s="27" t="s">
        <v>24</v>
      </c>
      <c r="J18" s="22"/>
      <c r="K18" s="27" t="s">
        <v>24</v>
      </c>
      <c r="L18" s="22"/>
      <c r="M18" s="27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113</v>
      </c>
      <c r="B20" s="22"/>
      <c r="C20" s="28" t="s">
        <v>27</v>
      </c>
      <c r="D20" s="22"/>
      <c r="E20" s="29" t="s">
        <v>26</v>
      </c>
      <c r="F20" s="22"/>
      <c r="G20" s="28" t="s">
        <v>27</v>
      </c>
      <c r="H20" s="22"/>
      <c r="I20" s="28" t="s">
        <v>114</v>
      </c>
      <c r="J20" s="22"/>
      <c r="K20" s="28" t="s">
        <v>17</v>
      </c>
      <c r="L20" s="22"/>
      <c r="M20" s="28" t="s">
        <v>17</v>
      </c>
      <c r="N20" s="22"/>
    </row>
    <row r="21" spans="1:14" ht="18" customHeight="1">
      <c r="A21" s="30" t="s">
        <v>50</v>
      </c>
      <c r="B21" s="22"/>
      <c r="C21" s="30" t="s">
        <v>50</v>
      </c>
      <c r="D21" s="22"/>
      <c r="E21" s="30" t="s">
        <v>63</v>
      </c>
      <c r="F21" s="22"/>
      <c r="G21" s="30" t="s">
        <v>50</v>
      </c>
      <c r="H21" s="22"/>
      <c r="I21" s="30" t="s">
        <v>63</v>
      </c>
      <c r="J21" s="22"/>
      <c r="K21" s="30" t="s">
        <v>74</v>
      </c>
      <c r="L21" s="22"/>
      <c r="M21" s="30" t="s">
        <v>74</v>
      </c>
      <c r="N21" s="22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26" t="s">
        <v>85</v>
      </c>
      <c r="B23" s="22"/>
      <c r="C23" s="26" t="s">
        <v>24</v>
      </c>
      <c r="D23" s="22"/>
      <c r="E23" s="26" t="s">
        <v>24</v>
      </c>
      <c r="F23" s="22"/>
      <c r="G23" s="26" t="s">
        <v>24</v>
      </c>
      <c r="H23" s="22"/>
      <c r="I23" s="26" t="s">
        <v>53</v>
      </c>
      <c r="J23" s="22"/>
      <c r="K23" s="26" t="s">
        <v>9</v>
      </c>
      <c r="L23" s="22"/>
      <c r="M23" s="26" t="s">
        <v>9</v>
      </c>
      <c r="N23" s="22"/>
    </row>
    <row r="24" spans="1:14" ht="14.1">
      <c r="A24" s="25" t="s">
        <v>16</v>
      </c>
      <c r="B24" s="22"/>
      <c r="C24" s="25" t="s">
        <v>16</v>
      </c>
      <c r="D24" s="22"/>
      <c r="E24" s="25" t="s">
        <v>16</v>
      </c>
      <c r="F24" s="22"/>
      <c r="G24" s="25" t="s">
        <v>16</v>
      </c>
      <c r="H24" s="22"/>
      <c r="I24" s="24" t="s">
        <v>12</v>
      </c>
      <c r="J24" s="22"/>
      <c r="K24" s="24" t="s">
        <v>12</v>
      </c>
      <c r="L24" s="22"/>
      <c r="M24" s="24" t="s">
        <v>12</v>
      </c>
      <c r="N24" s="22"/>
    </row>
    <row r="25" spans="1:14" ht="14.1">
      <c r="A25" s="23" t="s">
        <v>59</v>
      </c>
      <c r="B25" s="22"/>
      <c r="C25" s="23" t="s">
        <v>59</v>
      </c>
      <c r="D25" s="22"/>
      <c r="E25" s="23" t="s">
        <v>59</v>
      </c>
      <c r="F25" s="22"/>
      <c r="G25" s="23" t="s">
        <v>59</v>
      </c>
      <c r="H25" s="22"/>
      <c r="I25" s="23" t="s">
        <v>40</v>
      </c>
      <c r="J25" s="22"/>
      <c r="K25" s="33" t="s">
        <v>115</v>
      </c>
      <c r="L25" s="22"/>
      <c r="M25" s="33" t="s">
        <v>115</v>
      </c>
      <c r="N25" s="22"/>
    </row>
    <row r="26" spans="1:14" ht="14.1">
      <c r="A26" s="21" t="s">
        <v>24</v>
      </c>
      <c r="B26" s="22"/>
      <c r="C26" s="21" t="s">
        <v>89</v>
      </c>
      <c r="D26" s="22"/>
      <c r="E26" s="21" t="s">
        <v>89</v>
      </c>
      <c r="F26" s="22"/>
      <c r="G26" s="21" t="s">
        <v>89</v>
      </c>
      <c r="H26" s="22"/>
      <c r="I26" s="21" t="s">
        <v>89</v>
      </c>
      <c r="J26" s="22"/>
      <c r="K26" s="21" t="s">
        <v>89</v>
      </c>
      <c r="L26" s="22"/>
      <c r="M26" s="21" t="s">
        <v>89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28</v>
      </c>
      <c r="B28" s="22"/>
      <c r="C28" s="28" t="s">
        <v>17</v>
      </c>
      <c r="D28" s="22"/>
      <c r="E28" s="29" t="s">
        <v>28</v>
      </c>
      <c r="F28" s="22"/>
      <c r="G28" s="28" t="s">
        <v>17</v>
      </c>
      <c r="H28" s="22"/>
      <c r="I28" s="28" t="s">
        <v>17</v>
      </c>
      <c r="J28" s="22"/>
      <c r="K28" s="28" t="s">
        <v>26</v>
      </c>
      <c r="L28" s="22"/>
      <c r="M28" s="28" t="s">
        <v>26</v>
      </c>
      <c r="N28" s="22"/>
    </row>
    <row r="29" spans="1:14" ht="18" customHeight="1">
      <c r="A29" s="30" t="s">
        <v>50</v>
      </c>
      <c r="B29" s="22"/>
      <c r="C29" s="30" t="s">
        <v>63</v>
      </c>
      <c r="D29" s="22"/>
      <c r="E29" s="30" t="s">
        <v>50</v>
      </c>
      <c r="F29" s="22"/>
      <c r="G29" s="30" t="s">
        <v>116</v>
      </c>
      <c r="H29" s="22"/>
      <c r="I29" s="30" t="s">
        <v>117</v>
      </c>
      <c r="J29" s="22"/>
      <c r="K29" s="30" t="s">
        <v>58</v>
      </c>
      <c r="L29" s="22"/>
      <c r="M29" s="30" t="s">
        <v>58</v>
      </c>
      <c r="N29" s="22"/>
    </row>
    <row r="30" spans="1:14" ht="18" customHeight="1">
      <c r="A30" s="4">
        <f>M22+1</f>
        <v>45215</v>
      </c>
      <c r="B30" s="5"/>
      <c r="C30" s="4">
        <f>A30+1</f>
        <v>45216</v>
      </c>
      <c r="D30" s="5"/>
      <c r="E30" s="4">
        <f>C30+1</f>
        <v>45217</v>
      </c>
      <c r="F30" s="5"/>
      <c r="G30" s="4">
        <f>E30+1</f>
        <v>45218</v>
      </c>
      <c r="H30" s="5"/>
      <c r="I30" s="4">
        <f>G30+1</f>
        <v>45219</v>
      </c>
      <c r="J30" s="5"/>
      <c r="K30" s="4">
        <f>I30+1</f>
        <v>45220</v>
      </c>
      <c r="L30" s="5"/>
      <c r="M30" s="4">
        <f>K30+1</f>
        <v>45221</v>
      </c>
      <c r="N30" s="5"/>
    </row>
    <row r="31" spans="1:14" ht="14.1">
      <c r="A31" s="26" t="s">
        <v>53</v>
      </c>
      <c r="B31" s="22"/>
      <c r="C31" s="26" t="s">
        <v>9</v>
      </c>
      <c r="D31" s="22"/>
      <c r="E31" s="26" t="s">
        <v>9</v>
      </c>
      <c r="F31" s="22"/>
      <c r="G31" s="26" t="s">
        <v>9</v>
      </c>
      <c r="H31" s="22"/>
      <c r="I31" s="34" t="s">
        <v>50</v>
      </c>
      <c r="J31" s="22"/>
      <c r="K31" s="34" t="s">
        <v>50</v>
      </c>
      <c r="L31" s="22"/>
      <c r="M31" s="34" t="s">
        <v>50</v>
      </c>
      <c r="N31" s="22"/>
    </row>
    <row r="32" spans="1:14" ht="14.1">
      <c r="A32" s="25" t="s">
        <v>12</v>
      </c>
      <c r="B32" s="22"/>
      <c r="C32" s="25" t="s">
        <v>12</v>
      </c>
      <c r="D32" s="22"/>
      <c r="E32" s="25" t="s">
        <v>12</v>
      </c>
      <c r="F32" s="22"/>
      <c r="G32" s="25" t="s">
        <v>12</v>
      </c>
      <c r="H32" s="22"/>
      <c r="I32" s="24" t="s">
        <v>51</v>
      </c>
      <c r="J32" s="22"/>
      <c r="K32" s="24" t="s">
        <v>51</v>
      </c>
      <c r="L32" s="22"/>
      <c r="M32" s="24" t="s">
        <v>51</v>
      </c>
      <c r="N32" s="22"/>
    </row>
    <row r="33" spans="1:14" ht="14.1">
      <c r="A33" s="23" t="s">
        <v>13</v>
      </c>
      <c r="B33" s="22"/>
      <c r="C33" s="23" t="s">
        <v>13</v>
      </c>
      <c r="D33" s="22"/>
      <c r="E33" s="23" t="s">
        <v>13</v>
      </c>
      <c r="F33" s="22"/>
      <c r="G33" s="23" t="s">
        <v>13</v>
      </c>
      <c r="H33" s="22"/>
      <c r="I33" s="23" t="s">
        <v>13</v>
      </c>
      <c r="J33" s="22"/>
      <c r="K33" s="33" t="s">
        <v>76</v>
      </c>
      <c r="L33" s="22"/>
      <c r="M33" s="33" t="s">
        <v>13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15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28</v>
      </c>
      <c r="B36" s="22"/>
      <c r="C36" s="28" t="s">
        <v>27</v>
      </c>
      <c r="D36" s="22"/>
      <c r="E36" s="29" t="s">
        <v>28</v>
      </c>
      <c r="F36" s="22"/>
      <c r="G36" s="28" t="s">
        <v>27</v>
      </c>
      <c r="H36" s="22"/>
      <c r="I36" s="28" t="s">
        <v>71</v>
      </c>
      <c r="J36" s="22"/>
      <c r="K36" s="28" t="s">
        <v>36</v>
      </c>
      <c r="L36" s="22"/>
      <c r="M36" s="28" t="s">
        <v>36</v>
      </c>
      <c r="N36" s="22"/>
    </row>
    <row r="37" spans="1:14" ht="18" customHeight="1">
      <c r="A37" s="30" t="s">
        <v>30</v>
      </c>
      <c r="B37" s="22"/>
      <c r="C37" s="30" t="s">
        <v>30</v>
      </c>
      <c r="D37" s="22"/>
      <c r="E37" s="30" t="s">
        <v>30</v>
      </c>
      <c r="F37" s="22"/>
      <c r="G37" s="30" t="s">
        <v>30</v>
      </c>
      <c r="H37" s="22"/>
      <c r="I37" s="30" t="s">
        <v>29</v>
      </c>
      <c r="J37" s="22"/>
      <c r="K37" s="30" t="s">
        <v>77</v>
      </c>
      <c r="L37" s="22"/>
      <c r="M37" s="30" t="s">
        <v>30</v>
      </c>
      <c r="N37" s="22"/>
    </row>
    <row r="38" spans="1:14" ht="18" customHeight="1">
      <c r="A38" s="4">
        <f>IF(M30="","",IF(MONTH(M30+1)&lt;&gt;MONTH($A$1),"",M30+1))</f>
        <v>45222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26" t="s">
        <v>52</v>
      </c>
      <c r="B39" s="22"/>
      <c r="C39" s="26" t="s">
        <v>50</v>
      </c>
      <c r="D39" s="22"/>
      <c r="E39" s="26" t="s">
        <v>52</v>
      </c>
      <c r="F39" s="22"/>
      <c r="G39" s="26" t="s">
        <v>50</v>
      </c>
      <c r="H39" s="22"/>
      <c r="I39" s="34" t="s">
        <v>24</v>
      </c>
      <c r="J39" s="22"/>
      <c r="K39" s="34" t="s">
        <v>24</v>
      </c>
      <c r="L39" s="22"/>
      <c r="M39" s="34" t="s">
        <v>24</v>
      </c>
      <c r="N39" s="22"/>
    </row>
    <row r="40" spans="1:14" ht="14.1">
      <c r="A40" s="25" t="s">
        <v>51</v>
      </c>
      <c r="B40" s="22"/>
      <c r="C40" s="25" t="s">
        <v>51</v>
      </c>
      <c r="D40" s="22"/>
      <c r="E40" s="25" t="s">
        <v>51</v>
      </c>
      <c r="F40" s="22"/>
      <c r="G40" s="25" t="s">
        <v>51</v>
      </c>
      <c r="H40" s="22"/>
      <c r="I40" s="24" t="s">
        <v>59</v>
      </c>
      <c r="J40" s="22"/>
      <c r="K40" s="24" t="s">
        <v>59</v>
      </c>
      <c r="L40" s="22"/>
      <c r="M40" s="24" t="s">
        <v>59</v>
      </c>
      <c r="N40" s="22"/>
    </row>
    <row r="41" spans="1:14" ht="14.1">
      <c r="A41" s="23" t="s">
        <v>9</v>
      </c>
      <c r="B41" s="22"/>
      <c r="C41" s="23" t="s">
        <v>9</v>
      </c>
      <c r="D41" s="22"/>
      <c r="E41" s="23" t="s">
        <v>9</v>
      </c>
      <c r="F41" s="22"/>
      <c r="G41" s="23" t="s">
        <v>9</v>
      </c>
      <c r="H41" s="22"/>
      <c r="I41" s="23" t="s">
        <v>9</v>
      </c>
      <c r="J41" s="22"/>
      <c r="K41" s="33" t="s">
        <v>14</v>
      </c>
      <c r="L41" s="22"/>
      <c r="M41" s="33" t="s">
        <v>118</v>
      </c>
      <c r="N41" s="22"/>
    </row>
    <row r="42" spans="1:14" ht="14.1">
      <c r="A42" s="21" t="s">
        <v>15</v>
      </c>
      <c r="B42" s="22"/>
      <c r="C42" s="21" t="s">
        <v>24</v>
      </c>
      <c r="D42" s="22"/>
      <c r="E42" s="21" t="s">
        <v>24</v>
      </c>
      <c r="F42" s="22"/>
      <c r="G42" s="21" t="s">
        <v>24</v>
      </c>
      <c r="H42" s="22"/>
      <c r="I42" s="27" t="s">
        <v>15</v>
      </c>
      <c r="J42" s="22"/>
      <c r="K42" s="27" t="s">
        <v>15</v>
      </c>
      <c r="L42" s="22"/>
      <c r="M42" s="27" t="s">
        <v>15</v>
      </c>
      <c r="N42" s="22"/>
    </row>
    <row r="43" spans="1:14" ht="14.1">
      <c r="A43" s="59" t="s">
        <v>13</v>
      </c>
      <c r="B43" s="22"/>
      <c r="C43" s="59" t="s">
        <v>13</v>
      </c>
      <c r="D43" s="22"/>
      <c r="E43" s="59" t="s">
        <v>13</v>
      </c>
      <c r="F43" s="22"/>
      <c r="G43" s="59" t="s">
        <v>13</v>
      </c>
      <c r="H43" s="22"/>
      <c r="I43" s="59" t="s">
        <v>13</v>
      </c>
      <c r="J43" s="22"/>
      <c r="K43" s="59" t="s">
        <v>13</v>
      </c>
      <c r="L43" s="22"/>
      <c r="M43" s="59" t="s">
        <v>13</v>
      </c>
      <c r="N43" s="22"/>
    </row>
    <row r="44" spans="1:14" ht="14.1">
      <c r="A44" s="29" t="s">
        <v>28</v>
      </c>
      <c r="B44" s="22"/>
      <c r="C44" s="28" t="s">
        <v>17</v>
      </c>
      <c r="D44" s="22"/>
      <c r="E44" s="29" t="s">
        <v>84</v>
      </c>
      <c r="F44" s="22"/>
      <c r="G44" s="28" t="s">
        <v>17</v>
      </c>
      <c r="H44" s="22"/>
      <c r="I44" s="28" t="s">
        <v>17</v>
      </c>
      <c r="J44" s="22"/>
      <c r="K44" s="28" t="s">
        <v>26</v>
      </c>
      <c r="L44" s="22"/>
      <c r="M44" s="28" t="s">
        <v>26</v>
      </c>
      <c r="N44" s="22"/>
    </row>
    <row r="45" spans="1:14" ht="18" customHeight="1">
      <c r="A45" s="30" t="s">
        <v>77</v>
      </c>
      <c r="B45" s="22"/>
      <c r="C45" s="32" t="s">
        <v>29</v>
      </c>
      <c r="D45" s="31"/>
      <c r="E45" s="30" t="s">
        <v>29</v>
      </c>
      <c r="F45" s="22"/>
      <c r="G45" s="32" t="s">
        <v>29</v>
      </c>
      <c r="H45" s="31"/>
      <c r="I45" s="32" t="s">
        <v>29</v>
      </c>
      <c r="J45" s="31"/>
      <c r="K45" s="32" t="s">
        <v>41</v>
      </c>
      <c r="L45" s="31"/>
      <c r="M45" s="32" t="s">
        <v>41</v>
      </c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119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120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121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EDATE('©'!A17,16)</f>
        <v>45231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122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NOVEMBER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45236</v>
      </c>
      <c r="B5" s="51"/>
      <c r="C5" s="50">
        <f>C14</f>
        <v>45237</v>
      </c>
      <c r="D5" s="51"/>
      <c r="E5" s="50">
        <f>E14</f>
        <v>45238</v>
      </c>
      <c r="F5" s="51"/>
      <c r="G5" s="50">
        <f>G14</f>
        <v>45239</v>
      </c>
      <c r="H5" s="51"/>
      <c r="I5" s="50">
        <f>I14</f>
        <v>45240</v>
      </c>
      <c r="J5" s="51"/>
      <c r="K5" s="50">
        <f>K14</f>
        <v>45241</v>
      </c>
      <c r="L5" s="51"/>
      <c r="M5" s="50">
        <f>M14</f>
        <v>45242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26" t="s">
        <v>24</v>
      </c>
      <c r="B7" s="22"/>
      <c r="C7" s="26" t="s">
        <v>24</v>
      </c>
      <c r="D7" s="22"/>
      <c r="E7" s="26" t="s">
        <v>24</v>
      </c>
      <c r="F7" s="22"/>
      <c r="G7" s="26" t="s">
        <v>9</v>
      </c>
      <c r="H7" s="22"/>
      <c r="I7" s="34" t="s">
        <v>9</v>
      </c>
      <c r="J7" s="22"/>
      <c r="K7" s="34" t="s">
        <v>31</v>
      </c>
      <c r="L7" s="22"/>
      <c r="M7" s="34" t="s">
        <v>9</v>
      </c>
      <c r="N7" s="22"/>
    </row>
    <row r="8" spans="1:14" ht="14.1">
      <c r="A8" s="25" t="s">
        <v>59</v>
      </c>
      <c r="B8" s="22"/>
      <c r="C8" s="25" t="s">
        <v>59</v>
      </c>
      <c r="D8" s="22"/>
      <c r="E8" s="25" t="s">
        <v>59</v>
      </c>
      <c r="F8" s="22"/>
      <c r="G8" s="25" t="s">
        <v>59</v>
      </c>
      <c r="H8" s="22"/>
      <c r="I8" s="24" t="s">
        <v>42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 t="s">
        <v>13</v>
      </c>
      <c r="B9" s="22"/>
      <c r="C9" s="23" t="s">
        <v>13</v>
      </c>
      <c r="D9" s="22"/>
      <c r="E9" s="23" t="s">
        <v>13</v>
      </c>
      <c r="F9" s="22"/>
      <c r="G9" s="23" t="s">
        <v>13</v>
      </c>
      <c r="H9" s="22"/>
      <c r="I9" s="23" t="s">
        <v>13</v>
      </c>
      <c r="J9" s="22"/>
      <c r="K9" s="33" t="s">
        <v>13</v>
      </c>
      <c r="L9" s="22"/>
      <c r="M9" s="33" t="s">
        <v>13</v>
      </c>
      <c r="N9" s="22"/>
    </row>
    <row r="10" spans="1:14" ht="14.1">
      <c r="A10" s="21" t="s">
        <v>15</v>
      </c>
      <c r="B10" s="22"/>
      <c r="C10" s="21" t="s">
        <v>15</v>
      </c>
      <c r="D10" s="22"/>
      <c r="E10" s="21" t="s">
        <v>15</v>
      </c>
      <c r="F10" s="22"/>
      <c r="G10" s="21" t="s">
        <v>15</v>
      </c>
      <c r="H10" s="22"/>
      <c r="I10" s="21" t="s">
        <v>15</v>
      </c>
      <c r="J10" s="22"/>
      <c r="K10" s="21" t="s">
        <v>15</v>
      </c>
      <c r="L10" s="22"/>
      <c r="M10" s="21" t="s">
        <v>15</v>
      </c>
      <c r="N10" s="22"/>
    </row>
    <row r="11" spans="1:14" ht="14.1">
      <c r="A11" s="59" t="s">
        <v>16</v>
      </c>
      <c r="B11" s="22"/>
      <c r="C11" s="59" t="s">
        <v>16</v>
      </c>
      <c r="D11" s="22"/>
      <c r="E11" s="59" t="s">
        <v>16</v>
      </c>
      <c r="F11" s="22"/>
      <c r="G11" s="59" t="s">
        <v>16</v>
      </c>
      <c r="H11" s="22"/>
      <c r="I11" s="59" t="s">
        <v>16</v>
      </c>
      <c r="J11" s="22"/>
      <c r="K11" s="59" t="s">
        <v>16</v>
      </c>
      <c r="L11" s="22"/>
      <c r="M11" s="59" t="s">
        <v>16</v>
      </c>
      <c r="N11" s="22"/>
    </row>
    <row r="12" spans="1:14" ht="14.1">
      <c r="A12" s="29" t="s">
        <v>26</v>
      </c>
      <c r="B12" s="22"/>
      <c r="C12" s="28" t="s">
        <v>26</v>
      </c>
      <c r="D12" s="22"/>
      <c r="E12" s="29" t="s">
        <v>123</v>
      </c>
      <c r="F12" s="22"/>
      <c r="G12" s="28" t="s">
        <v>26</v>
      </c>
      <c r="H12" s="22"/>
      <c r="I12" s="28" t="s">
        <v>124</v>
      </c>
      <c r="J12" s="22"/>
      <c r="K12" s="28" t="s">
        <v>36</v>
      </c>
      <c r="L12" s="22"/>
      <c r="M12" s="28" t="s">
        <v>36</v>
      </c>
      <c r="N12" s="22"/>
    </row>
    <row r="13" spans="1:14" ht="18" customHeight="1">
      <c r="A13" s="30" t="s">
        <v>63</v>
      </c>
      <c r="B13" s="22"/>
      <c r="C13" s="30" t="s">
        <v>63</v>
      </c>
      <c r="D13" s="22"/>
      <c r="E13" s="30" t="s">
        <v>50</v>
      </c>
      <c r="F13" s="22"/>
      <c r="G13" s="30" t="s">
        <v>63</v>
      </c>
      <c r="H13" s="22"/>
      <c r="I13" s="30" t="s">
        <v>50</v>
      </c>
      <c r="J13" s="22"/>
      <c r="K13" s="30" t="s">
        <v>30</v>
      </c>
      <c r="L13" s="22"/>
      <c r="M13" s="30" t="s">
        <v>30</v>
      </c>
      <c r="N13" s="22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26" t="s">
        <v>53</v>
      </c>
      <c r="B15" s="22"/>
      <c r="C15" s="26" t="s">
        <v>9</v>
      </c>
      <c r="D15" s="22"/>
      <c r="E15" s="26" t="s">
        <v>31</v>
      </c>
      <c r="F15" s="22"/>
      <c r="G15" s="26" t="s">
        <v>9</v>
      </c>
      <c r="H15" s="22"/>
      <c r="I15" s="34" t="s">
        <v>125</v>
      </c>
      <c r="J15" s="22"/>
      <c r="K15" s="34" t="s">
        <v>50</v>
      </c>
      <c r="L15" s="22"/>
      <c r="M15" s="34" t="s">
        <v>50</v>
      </c>
      <c r="N15" s="22"/>
    </row>
    <row r="16" spans="1:14" ht="14.1">
      <c r="A16" s="25" t="s">
        <v>42</v>
      </c>
      <c r="B16" s="22"/>
      <c r="C16" s="25" t="s">
        <v>42</v>
      </c>
      <c r="D16" s="22"/>
      <c r="E16" s="25" t="s">
        <v>42</v>
      </c>
      <c r="F16" s="22"/>
      <c r="G16" s="25" t="s">
        <v>42</v>
      </c>
      <c r="H16" s="22"/>
      <c r="I16" s="24" t="s">
        <v>54</v>
      </c>
      <c r="J16" s="22"/>
      <c r="K16" s="24" t="s">
        <v>54</v>
      </c>
      <c r="L16" s="22"/>
      <c r="M16" s="24" t="s">
        <v>54</v>
      </c>
      <c r="N16" s="22"/>
    </row>
    <row r="17" spans="1:14" ht="14.1">
      <c r="A17" s="23" t="s">
        <v>59</v>
      </c>
      <c r="B17" s="22"/>
      <c r="C17" s="23" t="s">
        <v>59</v>
      </c>
      <c r="D17" s="22"/>
      <c r="E17" s="23" t="s">
        <v>59</v>
      </c>
      <c r="F17" s="22"/>
      <c r="G17" s="23" t="s">
        <v>59</v>
      </c>
      <c r="H17" s="22"/>
      <c r="I17" s="23" t="s">
        <v>59</v>
      </c>
      <c r="J17" s="22"/>
      <c r="K17" s="23" t="s">
        <v>40</v>
      </c>
      <c r="L17" s="22"/>
      <c r="M17" s="23" t="s">
        <v>40</v>
      </c>
      <c r="N17" s="22"/>
    </row>
    <row r="18" spans="1:14" ht="14.1">
      <c r="A18" s="21" t="s">
        <v>15</v>
      </c>
      <c r="B18" s="22"/>
      <c r="C18" s="27" t="s">
        <v>89</v>
      </c>
      <c r="D18" s="22"/>
      <c r="E18" s="27" t="s">
        <v>89</v>
      </c>
      <c r="F18" s="22"/>
      <c r="G18" s="27" t="s">
        <v>89</v>
      </c>
      <c r="H18" s="22"/>
      <c r="I18" s="27" t="s">
        <v>89</v>
      </c>
      <c r="J18" s="22"/>
      <c r="K18" s="27" t="s">
        <v>89</v>
      </c>
      <c r="L18" s="22"/>
      <c r="M18" s="27" t="s">
        <v>89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28</v>
      </c>
      <c r="B20" s="22"/>
      <c r="C20" s="28" t="s">
        <v>126</v>
      </c>
      <c r="D20" s="22"/>
      <c r="E20" s="29" t="s">
        <v>127</v>
      </c>
      <c r="F20" s="22"/>
      <c r="G20" s="28" t="s">
        <v>127</v>
      </c>
      <c r="H20" s="22"/>
      <c r="I20" s="28" t="s">
        <v>27</v>
      </c>
      <c r="J20" s="22"/>
      <c r="K20" s="28" t="s">
        <v>26</v>
      </c>
      <c r="L20" s="22"/>
      <c r="M20" s="28" t="s">
        <v>26</v>
      </c>
      <c r="N20" s="22"/>
    </row>
    <row r="21" spans="1:14" ht="18" customHeight="1">
      <c r="A21" s="30" t="s">
        <v>77</v>
      </c>
      <c r="B21" s="22"/>
      <c r="C21" s="30" t="s">
        <v>30</v>
      </c>
      <c r="D21" s="22"/>
      <c r="E21" s="30" t="s">
        <v>30</v>
      </c>
      <c r="F21" s="22"/>
      <c r="G21" s="30" t="s">
        <v>77</v>
      </c>
      <c r="H21" s="22"/>
      <c r="I21" s="30" t="s">
        <v>30</v>
      </c>
      <c r="J21" s="22"/>
      <c r="K21" s="30" t="s">
        <v>41</v>
      </c>
      <c r="L21" s="22"/>
      <c r="M21" s="30" t="s">
        <v>41</v>
      </c>
      <c r="N21" s="22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26" t="s">
        <v>52</v>
      </c>
      <c r="B23" s="22"/>
      <c r="C23" s="26" t="s">
        <v>50</v>
      </c>
      <c r="D23" s="22"/>
      <c r="E23" s="26" t="s">
        <v>52</v>
      </c>
      <c r="F23" s="22"/>
      <c r="G23" s="26" t="s">
        <v>50</v>
      </c>
      <c r="H23" s="22"/>
      <c r="I23" s="26" t="s">
        <v>85</v>
      </c>
      <c r="J23" s="22"/>
      <c r="K23" s="26" t="s">
        <v>85</v>
      </c>
      <c r="L23" s="22"/>
      <c r="M23" s="26" t="s">
        <v>85</v>
      </c>
      <c r="N23" s="22"/>
    </row>
    <row r="24" spans="1:14" ht="14.1">
      <c r="A24" s="25" t="s">
        <v>54</v>
      </c>
      <c r="B24" s="22"/>
      <c r="C24" s="25" t="s">
        <v>54</v>
      </c>
      <c r="D24" s="22"/>
      <c r="E24" s="25" t="s">
        <v>54</v>
      </c>
      <c r="F24" s="22"/>
      <c r="G24" s="25" t="s">
        <v>54</v>
      </c>
      <c r="H24" s="22"/>
      <c r="I24" s="24" t="s">
        <v>25</v>
      </c>
      <c r="J24" s="22"/>
      <c r="K24" s="24" t="s">
        <v>25</v>
      </c>
      <c r="L24" s="22"/>
      <c r="M24" s="24" t="s">
        <v>25</v>
      </c>
      <c r="N24" s="22"/>
    </row>
    <row r="25" spans="1:14" ht="14.1">
      <c r="A25" s="23" t="s">
        <v>13</v>
      </c>
      <c r="B25" s="22"/>
      <c r="C25" s="23" t="s">
        <v>11</v>
      </c>
      <c r="D25" s="22"/>
      <c r="E25" s="23" t="s">
        <v>11</v>
      </c>
      <c r="F25" s="22"/>
      <c r="G25" s="23" t="s">
        <v>11</v>
      </c>
      <c r="H25" s="22"/>
      <c r="I25" s="23" t="s">
        <v>11</v>
      </c>
      <c r="J25" s="22"/>
      <c r="K25" s="23" t="s">
        <v>11</v>
      </c>
      <c r="L25" s="22"/>
      <c r="M25" s="23" t="s">
        <v>11</v>
      </c>
      <c r="N25" s="22"/>
    </row>
    <row r="26" spans="1:14" ht="14.1">
      <c r="A26" s="21" t="s">
        <v>89</v>
      </c>
      <c r="B26" s="22"/>
      <c r="C26" s="21" t="s">
        <v>89</v>
      </c>
      <c r="D26" s="22"/>
      <c r="E26" s="21" t="s">
        <v>89</v>
      </c>
      <c r="F26" s="22"/>
      <c r="G26" s="21" t="s">
        <v>89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128</v>
      </c>
      <c r="B28" s="22"/>
      <c r="C28" s="28" t="s">
        <v>128</v>
      </c>
      <c r="D28" s="22"/>
      <c r="E28" s="29" t="s">
        <v>128</v>
      </c>
      <c r="F28" s="22"/>
      <c r="G28" s="28" t="s">
        <v>128</v>
      </c>
      <c r="H28" s="22"/>
      <c r="I28" s="28" t="s">
        <v>128</v>
      </c>
      <c r="J28" s="22"/>
      <c r="K28" s="28" t="s">
        <v>128</v>
      </c>
      <c r="L28" s="22"/>
      <c r="M28" s="28" t="s">
        <v>128</v>
      </c>
      <c r="N28" s="22"/>
    </row>
    <row r="29" spans="1:14" ht="18" customHeight="1">
      <c r="A29" s="30" t="s">
        <v>29</v>
      </c>
      <c r="B29" s="22"/>
      <c r="C29" s="30" t="s">
        <v>29</v>
      </c>
      <c r="D29" s="22"/>
      <c r="E29" s="30" t="s">
        <v>29</v>
      </c>
      <c r="F29" s="22"/>
      <c r="G29" s="30" t="s">
        <v>29</v>
      </c>
      <c r="H29" s="22"/>
      <c r="I29" s="30" t="s">
        <v>129</v>
      </c>
      <c r="J29" s="22"/>
      <c r="K29" s="30" t="s">
        <v>74</v>
      </c>
      <c r="L29" s="22"/>
      <c r="M29" s="30" t="s">
        <v>74</v>
      </c>
      <c r="N29" s="22"/>
    </row>
    <row r="30" spans="1:14" ht="18" customHeight="1">
      <c r="A30" s="4">
        <f>M22+1</f>
        <v>45250</v>
      </c>
      <c r="B30" s="5"/>
      <c r="C30" s="4">
        <f>A30+1</f>
        <v>45251</v>
      </c>
      <c r="D30" s="5"/>
      <c r="E30" s="4">
        <f>C30+1</f>
        <v>45252</v>
      </c>
      <c r="F30" s="5"/>
      <c r="G30" s="4">
        <f>E30+1</f>
        <v>45253</v>
      </c>
      <c r="H30" s="5"/>
      <c r="I30" s="4">
        <f>G30+1</f>
        <v>45254</v>
      </c>
      <c r="J30" s="5"/>
      <c r="K30" s="4">
        <f>I30+1</f>
        <v>45255</v>
      </c>
      <c r="L30" s="5"/>
      <c r="M30" s="4">
        <f>K30+1</f>
        <v>45256</v>
      </c>
      <c r="N30" s="5"/>
    </row>
    <row r="31" spans="1:14" ht="14.1">
      <c r="A31" s="26" t="s">
        <v>105</v>
      </c>
      <c r="B31" s="22"/>
      <c r="C31" s="26" t="s">
        <v>105</v>
      </c>
      <c r="D31" s="22"/>
      <c r="E31" s="26" t="s">
        <v>105</v>
      </c>
      <c r="F31" s="22"/>
      <c r="G31" s="26" t="s">
        <v>105</v>
      </c>
      <c r="H31" s="22"/>
      <c r="I31" s="26" t="s">
        <v>105</v>
      </c>
      <c r="J31" s="22"/>
      <c r="K31" s="34" t="s">
        <v>105</v>
      </c>
      <c r="L31" s="22"/>
      <c r="M31" s="34" t="s">
        <v>105</v>
      </c>
      <c r="N31" s="22"/>
    </row>
    <row r="32" spans="1:14" ht="14.1">
      <c r="A32" s="25" t="s">
        <v>25</v>
      </c>
      <c r="B32" s="22"/>
      <c r="C32" s="25" t="s">
        <v>25</v>
      </c>
      <c r="D32" s="22"/>
      <c r="E32" s="25" t="s">
        <v>25</v>
      </c>
      <c r="F32" s="22"/>
      <c r="G32" s="25" t="s">
        <v>25</v>
      </c>
      <c r="H32" s="22"/>
      <c r="I32" s="24" t="s">
        <v>42</v>
      </c>
      <c r="J32" s="22"/>
      <c r="K32" s="24" t="s">
        <v>42</v>
      </c>
      <c r="L32" s="22"/>
      <c r="M32" s="24" t="s">
        <v>42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23" t="s">
        <v>31</v>
      </c>
      <c r="L33" s="22"/>
      <c r="M33" s="23" t="s">
        <v>31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25</v>
      </c>
      <c r="J35" s="22"/>
      <c r="K35" s="59" t="s">
        <v>25</v>
      </c>
      <c r="L35" s="22"/>
      <c r="M35" s="59" t="s">
        <v>16</v>
      </c>
      <c r="N35" s="22"/>
    </row>
    <row r="36" spans="1:14" ht="14.1">
      <c r="A36" s="29" t="s">
        <v>28</v>
      </c>
      <c r="B36" s="22"/>
      <c r="C36" s="28" t="s">
        <v>17</v>
      </c>
      <c r="D36" s="22"/>
      <c r="E36" s="29" t="s">
        <v>28</v>
      </c>
      <c r="F36" s="22"/>
      <c r="G36" s="28" t="s">
        <v>19</v>
      </c>
      <c r="H36" s="22"/>
      <c r="I36" s="28" t="s">
        <v>27</v>
      </c>
      <c r="J36" s="22"/>
      <c r="K36" s="28" t="s">
        <v>26</v>
      </c>
      <c r="L36" s="22"/>
      <c r="M36" s="28" t="s">
        <v>19</v>
      </c>
      <c r="N36" s="22"/>
    </row>
    <row r="37" spans="1:14" ht="18" customHeight="1">
      <c r="A37" s="30" t="s">
        <v>50</v>
      </c>
      <c r="B37" s="22"/>
      <c r="C37" s="30" t="s">
        <v>63</v>
      </c>
      <c r="D37" s="22"/>
      <c r="E37" s="30" t="s">
        <v>50</v>
      </c>
      <c r="F37" s="22"/>
      <c r="G37" s="30" t="s">
        <v>50</v>
      </c>
      <c r="H37" s="22"/>
      <c r="I37" s="30" t="s">
        <v>50</v>
      </c>
      <c r="J37" s="22"/>
      <c r="K37" s="30" t="s">
        <v>130</v>
      </c>
      <c r="L37" s="22"/>
      <c r="M37" s="30" t="s">
        <v>50</v>
      </c>
      <c r="N37" s="22"/>
    </row>
    <row r="38" spans="1:14" ht="18" customHeight="1">
      <c r="A38" s="4">
        <f>IF(M30="","",IF(MONTH(M30+1)&lt;&gt;MONTH($A$1),"",M30+1))</f>
        <v>45257</v>
      </c>
      <c r="B38" s="5"/>
      <c r="C38" s="4">
        <f>IF(A38="","",IF(MONTH(A38+1)&lt;&gt;MONTH($A$1),"",A38+1))</f>
        <v>45258</v>
      </c>
      <c r="D38" s="5"/>
      <c r="E38" s="4">
        <f>IF(C38="","",IF(MONTH(C38+1)&lt;&gt;MONTH($A$1),"",C38+1))</f>
        <v>45259</v>
      </c>
      <c r="F38" s="5"/>
      <c r="G38" s="4">
        <f>IF(E38="","",IF(MONTH(E38+1)&lt;&gt;MONTH($A$1),"",E38+1))</f>
        <v>45260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131</v>
      </c>
      <c r="B39" s="22"/>
      <c r="C39" s="26" t="s">
        <v>24</v>
      </c>
      <c r="D39" s="22"/>
      <c r="E39" s="26"/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25" t="s">
        <v>16</v>
      </c>
      <c r="B40" s="22"/>
      <c r="C40" s="25" t="s">
        <v>16</v>
      </c>
      <c r="D40" s="22"/>
      <c r="E40" s="25"/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13</v>
      </c>
      <c r="B41" s="22"/>
      <c r="C41" s="23" t="s">
        <v>13</v>
      </c>
      <c r="D41" s="22"/>
      <c r="E41" s="23"/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4.1">
      <c r="A42" s="21" t="s">
        <v>15</v>
      </c>
      <c r="B42" s="22"/>
      <c r="C42" s="27" t="s">
        <v>15</v>
      </c>
      <c r="D42" s="22"/>
      <c r="E42" s="21"/>
      <c r="F42" s="22"/>
      <c r="G42" s="27"/>
      <c r="H42" s="22"/>
      <c r="I42" s="27"/>
      <c r="J42" s="22"/>
      <c r="K42" s="27"/>
      <c r="L42" s="22"/>
      <c r="M42" s="27"/>
      <c r="N42" s="22"/>
    </row>
    <row r="43" spans="1:14" ht="14.1">
      <c r="A43" s="59" t="s">
        <v>25</v>
      </c>
      <c r="B43" s="22"/>
      <c r="C43" s="59" t="s">
        <v>25</v>
      </c>
      <c r="D43" s="22"/>
      <c r="E43" s="59"/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27</v>
      </c>
      <c r="B44" s="22"/>
      <c r="C44" s="28" t="s">
        <v>27</v>
      </c>
      <c r="D44" s="22"/>
      <c r="E44" s="29"/>
      <c r="F44" s="22"/>
      <c r="G44" s="28"/>
      <c r="H44" s="22"/>
      <c r="I44" s="28"/>
      <c r="J44" s="22"/>
      <c r="K44" s="28"/>
      <c r="L44" s="22"/>
      <c r="M44" s="28"/>
      <c r="N44" s="22"/>
    </row>
    <row r="45" spans="1:14" ht="18" customHeight="1">
      <c r="A45" s="30" t="s">
        <v>30</v>
      </c>
      <c r="B45" s="22"/>
      <c r="C45" s="32" t="s">
        <v>30</v>
      </c>
      <c r="D45" s="31"/>
      <c r="E45" s="30"/>
      <c r="F45" s="22"/>
      <c r="G45" s="32"/>
      <c r="H45" s="31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132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133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134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EDATE('©'!A17,17)</f>
        <v>45261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DECEMBER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45264</v>
      </c>
      <c r="B5" s="51"/>
      <c r="C5" s="50">
        <f>C14</f>
        <v>45265</v>
      </c>
      <c r="D5" s="51"/>
      <c r="E5" s="50">
        <f>E14</f>
        <v>45266</v>
      </c>
      <c r="F5" s="51"/>
      <c r="G5" s="50">
        <f>G14</f>
        <v>45267</v>
      </c>
      <c r="H5" s="51"/>
      <c r="I5" s="50">
        <f>I14</f>
        <v>45268</v>
      </c>
      <c r="J5" s="51"/>
      <c r="K5" s="50">
        <f>K14</f>
        <v>45269</v>
      </c>
      <c r="L5" s="51"/>
      <c r="M5" s="50">
        <f>M14</f>
        <v>45270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26"/>
      <c r="B7" s="22"/>
      <c r="C7" s="34"/>
      <c r="D7" s="22"/>
      <c r="E7" s="26" t="s">
        <v>135</v>
      </c>
      <c r="F7" s="22"/>
      <c r="G7" s="26" t="s">
        <v>136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25"/>
      <c r="B8" s="22"/>
      <c r="C8" s="24"/>
      <c r="D8" s="22"/>
      <c r="E8" s="24" t="s">
        <v>16</v>
      </c>
      <c r="F8" s="22"/>
      <c r="G8" s="24" t="s">
        <v>16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/>
      <c r="B9" s="22"/>
      <c r="C9" s="33"/>
      <c r="D9" s="22"/>
      <c r="E9" s="23" t="s">
        <v>9</v>
      </c>
      <c r="F9" s="22"/>
      <c r="G9" s="23" t="s">
        <v>9</v>
      </c>
      <c r="H9" s="22"/>
      <c r="I9" s="23" t="s">
        <v>31</v>
      </c>
      <c r="J9" s="22"/>
      <c r="K9" s="33" t="s">
        <v>11</v>
      </c>
      <c r="L9" s="22"/>
      <c r="M9" s="33" t="s">
        <v>11</v>
      </c>
      <c r="N9" s="22"/>
    </row>
    <row r="10" spans="1:14" ht="14.1">
      <c r="A10" s="21"/>
      <c r="B10" s="22"/>
      <c r="C10" s="27"/>
      <c r="D10" s="22"/>
      <c r="E10" s="27" t="s">
        <v>15</v>
      </c>
      <c r="F10" s="22"/>
      <c r="G10" s="27" t="s">
        <v>15</v>
      </c>
      <c r="H10" s="22"/>
      <c r="I10" s="27" t="s">
        <v>89</v>
      </c>
      <c r="J10" s="22"/>
      <c r="K10" s="27" t="s">
        <v>89</v>
      </c>
      <c r="L10" s="22"/>
      <c r="M10" s="27" t="s">
        <v>89</v>
      </c>
      <c r="N10" s="22"/>
    </row>
    <row r="11" spans="1:14" ht="14.1">
      <c r="A11" s="59"/>
      <c r="B11" s="22"/>
      <c r="C11" s="60"/>
      <c r="D11" s="22"/>
      <c r="E11" s="60" t="s">
        <v>25</v>
      </c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28"/>
      <c r="D12" s="22"/>
      <c r="E12" s="29" t="s">
        <v>28</v>
      </c>
      <c r="F12" s="22"/>
      <c r="G12" s="28" t="s">
        <v>26</v>
      </c>
      <c r="H12" s="22"/>
      <c r="I12" s="28" t="s">
        <v>137</v>
      </c>
      <c r="J12" s="22"/>
      <c r="K12" s="28" t="s">
        <v>137</v>
      </c>
      <c r="L12" s="22"/>
      <c r="M12" s="28" t="s">
        <v>137</v>
      </c>
      <c r="N12" s="22"/>
    </row>
    <row r="13" spans="1:14" ht="18" customHeight="1">
      <c r="A13" s="30"/>
      <c r="B13" s="22"/>
      <c r="C13" s="32"/>
      <c r="D13" s="31"/>
      <c r="E13" s="32" t="s">
        <v>30</v>
      </c>
      <c r="F13" s="31"/>
      <c r="G13" s="32" t="s">
        <v>29</v>
      </c>
      <c r="H13" s="31"/>
      <c r="I13" s="32" t="s">
        <v>30</v>
      </c>
      <c r="J13" s="31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26" t="s">
        <v>52</v>
      </c>
      <c r="B15" s="22"/>
      <c r="C15" s="26" t="s">
        <v>50</v>
      </c>
      <c r="D15" s="22"/>
      <c r="E15" s="26" t="s">
        <v>52</v>
      </c>
      <c r="F15" s="22"/>
      <c r="G15" s="26" t="s">
        <v>50</v>
      </c>
      <c r="H15" s="22"/>
      <c r="I15" s="34" t="s">
        <v>53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25" t="s">
        <v>42</v>
      </c>
      <c r="B16" s="22"/>
      <c r="C16" s="25" t="s">
        <v>42</v>
      </c>
      <c r="D16" s="22"/>
      <c r="E16" s="25" t="s">
        <v>42</v>
      </c>
      <c r="F16" s="22"/>
      <c r="G16" s="25" t="s">
        <v>42</v>
      </c>
      <c r="H16" s="22"/>
      <c r="I16" s="24" t="s">
        <v>59</v>
      </c>
      <c r="J16" s="22"/>
      <c r="K16" s="24" t="s">
        <v>59</v>
      </c>
      <c r="L16" s="22"/>
      <c r="M16" s="24" t="s">
        <v>59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23" t="s">
        <v>13</v>
      </c>
      <c r="J17" s="22"/>
      <c r="K17" s="23" t="s">
        <v>76</v>
      </c>
      <c r="L17" s="22"/>
      <c r="M17" s="23" t="s">
        <v>76</v>
      </c>
      <c r="N17" s="22"/>
    </row>
    <row r="18" spans="1:14" ht="14.1">
      <c r="A18" s="21" t="s">
        <v>89</v>
      </c>
      <c r="B18" s="22"/>
      <c r="C18" s="21" t="s">
        <v>89</v>
      </c>
      <c r="D18" s="22"/>
      <c r="E18" s="21" t="s">
        <v>89</v>
      </c>
      <c r="F18" s="22"/>
      <c r="G18" s="21" t="s">
        <v>89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26</v>
      </c>
      <c r="B20" s="22"/>
      <c r="C20" s="28" t="s">
        <v>26</v>
      </c>
      <c r="D20" s="22"/>
      <c r="E20" s="29" t="s">
        <v>28</v>
      </c>
      <c r="F20" s="22"/>
      <c r="G20" s="28" t="s">
        <v>17</v>
      </c>
      <c r="H20" s="22"/>
      <c r="I20" s="28" t="s">
        <v>138</v>
      </c>
      <c r="J20" s="22"/>
      <c r="K20" s="28" t="s">
        <v>138</v>
      </c>
      <c r="L20" s="22"/>
      <c r="M20" s="28" t="s">
        <v>138</v>
      </c>
      <c r="N20" s="22"/>
    </row>
    <row r="21" spans="1:14" ht="18" customHeight="1">
      <c r="A21" s="30" t="s">
        <v>139</v>
      </c>
      <c r="B21" s="22"/>
      <c r="C21" s="30" t="s">
        <v>139</v>
      </c>
      <c r="D21" s="22"/>
      <c r="E21" s="30" t="s">
        <v>140</v>
      </c>
      <c r="F21" s="22"/>
      <c r="G21" s="30" t="s">
        <v>139</v>
      </c>
      <c r="H21" s="22"/>
      <c r="I21" s="30" t="s">
        <v>140</v>
      </c>
      <c r="J21" s="22"/>
      <c r="K21" s="30" t="s">
        <v>141</v>
      </c>
      <c r="L21" s="22"/>
      <c r="M21" s="30" t="s">
        <v>141</v>
      </c>
      <c r="N21" s="22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26" t="s">
        <v>53</v>
      </c>
      <c r="B23" s="22"/>
      <c r="C23" s="26" t="s">
        <v>9</v>
      </c>
      <c r="D23" s="22"/>
      <c r="E23" s="26" t="s">
        <v>105</v>
      </c>
      <c r="F23" s="22"/>
      <c r="G23" s="26" t="s">
        <v>105</v>
      </c>
      <c r="H23" s="22"/>
      <c r="I23" s="26" t="s">
        <v>105</v>
      </c>
      <c r="J23" s="22"/>
      <c r="K23" s="26" t="s">
        <v>105</v>
      </c>
      <c r="L23" s="22"/>
      <c r="M23" s="26" t="s">
        <v>105</v>
      </c>
      <c r="N23" s="22"/>
    </row>
    <row r="24" spans="1:14" ht="14.1">
      <c r="A24" s="25" t="s">
        <v>59</v>
      </c>
      <c r="B24" s="22"/>
      <c r="C24" s="25" t="s">
        <v>59</v>
      </c>
      <c r="D24" s="22"/>
      <c r="E24" s="25" t="s">
        <v>59</v>
      </c>
      <c r="F24" s="22"/>
      <c r="G24" s="25" t="s">
        <v>59</v>
      </c>
      <c r="H24" s="22"/>
      <c r="I24" s="24" t="s">
        <v>51</v>
      </c>
      <c r="J24" s="22"/>
      <c r="K24" s="24" t="s">
        <v>51</v>
      </c>
      <c r="L24" s="22"/>
      <c r="M24" s="24" t="s">
        <v>51</v>
      </c>
      <c r="N24" s="22"/>
    </row>
    <row r="25" spans="1:14" ht="14.1">
      <c r="A25" s="23" t="s">
        <v>13</v>
      </c>
      <c r="B25" s="22"/>
      <c r="C25" s="23" t="s">
        <v>13</v>
      </c>
      <c r="D25" s="22"/>
      <c r="E25" s="23" t="s">
        <v>13</v>
      </c>
      <c r="F25" s="22"/>
      <c r="G25" s="23" t="s">
        <v>13</v>
      </c>
      <c r="H25" s="22"/>
      <c r="I25" s="23" t="s">
        <v>12</v>
      </c>
      <c r="J25" s="22"/>
      <c r="K25" s="23" t="s">
        <v>142</v>
      </c>
      <c r="L25" s="22"/>
      <c r="M25" s="23" t="s">
        <v>142</v>
      </c>
      <c r="N25" s="22"/>
    </row>
    <row r="26" spans="1:14" ht="14.1">
      <c r="A26" s="21" t="s">
        <v>24</v>
      </c>
      <c r="B26" s="22"/>
      <c r="C26" s="21" t="s">
        <v>24</v>
      </c>
      <c r="D26" s="22"/>
      <c r="E26" s="21" t="s">
        <v>24</v>
      </c>
      <c r="F26" s="22"/>
      <c r="G26" s="21" t="s">
        <v>24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43</v>
      </c>
      <c r="B27" s="22"/>
      <c r="C27" s="59" t="s">
        <v>43</v>
      </c>
      <c r="D27" s="22"/>
      <c r="E27" s="59" t="s">
        <v>43</v>
      </c>
      <c r="F27" s="22"/>
      <c r="G27" s="59" t="s">
        <v>43</v>
      </c>
      <c r="H27" s="22"/>
      <c r="I27" s="59" t="s">
        <v>43</v>
      </c>
      <c r="J27" s="22"/>
      <c r="K27" s="59" t="s">
        <v>43</v>
      </c>
      <c r="L27" s="22"/>
      <c r="M27" s="59" t="s">
        <v>43</v>
      </c>
      <c r="N27" s="22"/>
    </row>
    <row r="28" spans="1:14" ht="14.1">
      <c r="A28" s="29" t="s">
        <v>17</v>
      </c>
      <c r="B28" s="22"/>
      <c r="C28" s="28" t="s">
        <v>17</v>
      </c>
      <c r="D28" s="22"/>
      <c r="E28" s="29" t="s">
        <v>17</v>
      </c>
      <c r="F28" s="22"/>
      <c r="G28" s="28" t="s">
        <v>71</v>
      </c>
      <c r="H28" s="22"/>
      <c r="I28" s="28" t="s">
        <v>26</v>
      </c>
      <c r="J28" s="22"/>
      <c r="K28" s="28" t="s">
        <v>26</v>
      </c>
      <c r="L28" s="22"/>
      <c r="M28" s="28" t="s">
        <v>26</v>
      </c>
      <c r="N28" s="22"/>
    </row>
    <row r="29" spans="1:14" ht="18" customHeight="1">
      <c r="A29" s="30" t="s">
        <v>143</v>
      </c>
      <c r="B29" s="22"/>
      <c r="C29" s="30" t="s">
        <v>143</v>
      </c>
      <c r="D29" s="22"/>
      <c r="E29" s="30" t="s">
        <v>63</v>
      </c>
      <c r="F29" s="22"/>
      <c r="G29" s="30" t="s">
        <v>63</v>
      </c>
      <c r="H29" s="22"/>
      <c r="I29" s="30" t="s">
        <v>143</v>
      </c>
      <c r="J29" s="22"/>
      <c r="K29" s="30" t="s">
        <v>130</v>
      </c>
      <c r="L29" s="22"/>
      <c r="M29" s="30" t="s">
        <v>144</v>
      </c>
      <c r="N29" s="22"/>
    </row>
    <row r="30" spans="1:14" ht="18" customHeight="1">
      <c r="A30" s="4">
        <f>M22+1</f>
        <v>45278</v>
      </c>
      <c r="B30" s="5"/>
      <c r="C30" s="4">
        <f>A30+1</f>
        <v>45279</v>
      </c>
      <c r="D30" s="5"/>
      <c r="E30" s="4">
        <f>C30+1</f>
        <v>45280</v>
      </c>
      <c r="F30" s="5"/>
      <c r="G30" s="4">
        <f>E30+1</f>
        <v>45281</v>
      </c>
      <c r="H30" s="5"/>
      <c r="I30" s="4">
        <f>G30+1</f>
        <v>45282</v>
      </c>
      <c r="J30" s="5"/>
      <c r="K30" s="4">
        <f>I30+1</f>
        <v>45283</v>
      </c>
      <c r="L30" s="5"/>
      <c r="M30" s="4">
        <f>K30+1</f>
        <v>45284</v>
      </c>
      <c r="N30" s="5"/>
    </row>
    <row r="31" spans="1:14" ht="14.1">
      <c r="A31" s="26" t="s">
        <v>85</v>
      </c>
      <c r="B31" s="22"/>
      <c r="C31" s="26" t="s">
        <v>24</v>
      </c>
      <c r="D31" s="22"/>
      <c r="E31" s="26" t="s">
        <v>145</v>
      </c>
      <c r="F31" s="22"/>
      <c r="G31" s="26" t="s">
        <v>9</v>
      </c>
      <c r="H31" s="22"/>
      <c r="I31" s="34" t="s">
        <v>9</v>
      </c>
      <c r="J31" s="22"/>
      <c r="K31" s="34" t="s">
        <v>9</v>
      </c>
      <c r="L31" s="22"/>
      <c r="M31" s="34" t="s">
        <v>50</v>
      </c>
      <c r="N31" s="22"/>
    </row>
    <row r="32" spans="1:14" ht="14.1">
      <c r="A32" s="25" t="s">
        <v>51</v>
      </c>
      <c r="B32" s="22"/>
      <c r="C32" s="25" t="s">
        <v>51</v>
      </c>
      <c r="D32" s="22"/>
      <c r="E32" s="25" t="s">
        <v>51</v>
      </c>
      <c r="F32" s="22"/>
      <c r="G32" s="25" t="s">
        <v>51</v>
      </c>
      <c r="H32" s="22"/>
      <c r="I32" s="24" t="s">
        <v>12</v>
      </c>
      <c r="J32" s="22"/>
      <c r="K32" s="24" t="s">
        <v>12</v>
      </c>
      <c r="L32" s="22"/>
      <c r="M32" s="24" t="s">
        <v>12</v>
      </c>
      <c r="N32" s="22"/>
    </row>
    <row r="33" spans="1:14" ht="14.1">
      <c r="A33" s="23" t="s">
        <v>11</v>
      </c>
      <c r="B33" s="22"/>
      <c r="C33" s="23" t="s">
        <v>11</v>
      </c>
      <c r="D33" s="22"/>
      <c r="E33" s="23" t="s">
        <v>13</v>
      </c>
      <c r="F33" s="22"/>
      <c r="G33" s="23" t="s">
        <v>13</v>
      </c>
      <c r="H33" s="22"/>
      <c r="I33" s="23" t="s">
        <v>13</v>
      </c>
      <c r="J33" s="22"/>
      <c r="K33" s="23" t="s">
        <v>13</v>
      </c>
      <c r="L33" s="22"/>
      <c r="M33" s="23" t="s">
        <v>13</v>
      </c>
      <c r="N33" s="22"/>
    </row>
    <row r="34" spans="1:14" ht="14.1">
      <c r="A34" s="21" t="s">
        <v>24</v>
      </c>
      <c r="B34" s="22"/>
      <c r="C34" s="21" t="s">
        <v>15</v>
      </c>
      <c r="D34" s="22"/>
      <c r="E34" s="21" t="s">
        <v>15</v>
      </c>
      <c r="F34" s="22"/>
      <c r="G34" s="21" t="s">
        <v>15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27</v>
      </c>
      <c r="B36" s="22"/>
      <c r="C36" s="28" t="s">
        <v>27</v>
      </c>
      <c r="D36" s="22"/>
      <c r="E36" s="29" t="s">
        <v>26</v>
      </c>
      <c r="F36" s="22"/>
      <c r="G36" s="28" t="s">
        <v>26</v>
      </c>
      <c r="H36" s="22"/>
      <c r="I36" s="28" t="s">
        <v>17</v>
      </c>
      <c r="J36" s="22"/>
      <c r="K36" s="28" t="s">
        <v>17</v>
      </c>
      <c r="L36" s="22"/>
      <c r="M36" s="28" t="s">
        <v>17</v>
      </c>
      <c r="N36" s="22"/>
    </row>
    <row r="37" spans="1:14" ht="18" customHeight="1">
      <c r="A37" s="30" t="s">
        <v>30</v>
      </c>
      <c r="B37" s="22"/>
      <c r="C37" s="30" t="s">
        <v>30</v>
      </c>
      <c r="D37" s="22"/>
      <c r="E37" s="30" t="s">
        <v>29</v>
      </c>
      <c r="F37" s="22"/>
      <c r="G37" s="30" t="s">
        <v>29</v>
      </c>
      <c r="H37" s="22"/>
      <c r="I37" s="30" t="s">
        <v>29</v>
      </c>
      <c r="J37" s="22"/>
      <c r="K37" s="30" t="s">
        <v>146</v>
      </c>
      <c r="L37" s="22"/>
      <c r="M37" s="30" t="s">
        <v>146</v>
      </c>
      <c r="N37" s="22"/>
    </row>
    <row r="38" spans="1:14" ht="18" customHeight="1">
      <c r="A38" s="4">
        <f>IF(M30="","",IF(MONTH(M30+1)&lt;&gt;MONTH($A$1),"",M30+1))</f>
        <v>45285</v>
      </c>
      <c r="B38" s="5"/>
      <c r="C38" s="4">
        <f>IF(A38="","",IF(MONTH(A38+1)&lt;&gt;MONTH($A$1),"",A38+1))</f>
        <v>45286</v>
      </c>
      <c r="D38" s="5"/>
      <c r="E38" s="4">
        <f>IF(C38="","",IF(MONTH(C38+1)&lt;&gt;MONTH($A$1),"",C38+1))</f>
        <v>45287</v>
      </c>
      <c r="F38" s="5"/>
      <c r="G38" s="4">
        <f>IF(E38="","",IF(MONTH(E38+1)&lt;&gt;MONTH($A$1),"",E38+1))</f>
        <v>45288</v>
      </c>
      <c r="H38" s="5"/>
      <c r="I38" s="4">
        <f>IF(G38="","",IF(MONTH(G38+1)&lt;&gt;MONTH($A$1),"",G38+1))</f>
        <v>45289</v>
      </c>
      <c r="J38" s="5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26" t="s">
        <v>50</v>
      </c>
      <c r="B39" s="22"/>
      <c r="C39" s="26" t="s">
        <v>50</v>
      </c>
      <c r="D39" s="22"/>
      <c r="E39" s="26" t="s">
        <v>125</v>
      </c>
      <c r="F39" s="22"/>
      <c r="G39" s="26" t="s">
        <v>50</v>
      </c>
      <c r="H39" s="22"/>
      <c r="I39" s="26" t="s">
        <v>49</v>
      </c>
      <c r="J39" s="22"/>
      <c r="K39" s="34"/>
      <c r="L39" s="22"/>
      <c r="M39" s="34"/>
      <c r="N39" s="22"/>
    </row>
    <row r="40" spans="1:14" ht="14.1">
      <c r="A40" s="25" t="s">
        <v>12</v>
      </c>
      <c r="B40" s="22"/>
      <c r="C40" s="25" t="s">
        <v>12</v>
      </c>
      <c r="D40" s="22"/>
      <c r="E40" s="25" t="s">
        <v>12</v>
      </c>
      <c r="F40" s="22"/>
      <c r="G40" s="25" t="s">
        <v>12</v>
      </c>
      <c r="H40" s="22"/>
      <c r="I40" s="24" t="s">
        <v>54</v>
      </c>
      <c r="J40" s="22"/>
      <c r="K40" s="24"/>
      <c r="L40" s="22"/>
      <c r="M40" s="24"/>
      <c r="N40" s="22"/>
    </row>
    <row r="41" spans="1:14" ht="14.1">
      <c r="A41" s="23" t="s">
        <v>13</v>
      </c>
      <c r="B41" s="22"/>
      <c r="C41" s="23" t="s">
        <v>11</v>
      </c>
      <c r="D41" s="22"/>
      <c r="E41" s="23" t="s">
        <v>11</v>
      </c>
      <c r="F41" s="22"/>
      <c r="G41" s="23" t="s">
        <v>40</v>
      </c>
      <c r="H41" s="22"/>
      <c r="I41" s="23" t="s">
        <v>40</v>
      </c>
      <c r="J41" s="22"/>
      <c r="K41" s="23"/>
      <c r="L41" s="22"/>
      <c r="M41" s="33"/>
      <c r="N41" s="22"/>
    </row>
    <row r="42" spans="1:14" ht="14.1">
      <c r="A42" s="21" t="s">
        <v>15</v>
      </c>
      <c r="B42" s="22"/>
      <c r="C42" s="21" t="s">
        <v>15</v>
      </c>
      <c r="D42" s="22"/>
      <c r="E42" s="21" t="s">
        <v>89</v>
      </c>
      <c r="F42" s="22"/>
      <c r="G42" s="21" t="s">
        <v>89</v>
      </c>
      <c r="H42" s="22"/>
      <c r="I42" s="21" t="s">
        <v>89</v>
      </c>
      <c r="J42" s="22"/>
      <c r="K42" s="27"/>
      <c r="L42" s="22"/>
      <c r="M42" s="27"/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60"/>
      <c r="L43" s="22"/>
      <c r="M43" s="60"/>
      <c r="N43" s="22"/>
    </row>
    <row r="44" spans="1:14" ht="14.1">
      <c r="A44" s="29" t="s">
        <v>28</v>
      </c>
      <c r="B44" s="22"/>
      <c r="C44" s="28" t="s">
        <v>17</v>
      </c>
      <c r="D44" s="22"/>
      <c r="E44" s="29" t="s">
        <v>28</v>
      </c>
      <c r="F44" s="22"/>
      <c r="G44" s="28" t="s">
        <v>126</v>
      </c>
      <c r="H44" s="22"/>
      <c r="I44" s="28" t="s">
        <v>27</v>
      </c>
      <c r="J44" s="22"/>
      <c r="K44" s="28"/>
      <c r="L44" s="22"/>
      <c r="M44" s="28"/>
      <c r="N44" s="22"/>
    </row>
    <row r="45" spans="1:14" ht="18" customHeight="1">
      <c r="A45" s="30" t="s">
        <v>30</v>
      </c>
      <c r="B45" s="22"/>
      <c r="C45" s="30" t="s">
        <v>29</v>
      </c>
      <c r="D45" s="22"/>
      <c r="E45" s="30" t="s">
        <v>30</v>
      </c>
      <c r="F45" s="22"/>
      <c r="G45" s="30" t="s">
        <v>30</v>
      </c>
      <c r="H45" s="22"/>
      <c r="I45" s="30" t="s">
        <v>30</v>
      </c>
      <c r="J45" s="22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147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148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149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EDATE('©'!A17,18)</f>
        <v>45292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JANUARY 2024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45299</v>
      </c>
      <c r="B5" s="51"/>
      <c r="C5" s="50">
        <f>C14</f>
        <v>45300</v>
      </c>
      <c r="D5" s="51"/>
      <c r="E5" s="50">
        <f>E14</f>
        <v>45301</v>
      </c>
      <c r="F5" s="51"/>
      <c r="G5" s="50">
        <f>G14</f>
        <v>45302</v>
      </c>
      <c r="H5" s="51"/>
      <c r="I5" s="50">
        <f>I14</f>
        <v>45303</v>
      </c>
      <c r="J5" s="51"/>
      <c r="K5" s="50">
        <f>K14</f>
        <v>45304</v>
      </c>
      <c r="L5" s="51"/>
      <c r="M5" s="50">
        <f>M14</f>
        <v>45305</v>
      </c>
      <c r="N5" s="51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26"/>
      <c r="B7" s="22"/>
      <c r="C7" s="34"/>
      <c r="D7" s="22"/>
      <c r="E7" s="26"/>
      <c r="F7" s="22"/>
      <c r="G7" s="34"/>
      <c r="H7" s="22"/>
      <c r="I7" s="34"/>
      <c r="J7" s="22"/>
      <c r="K7" s="34" t="s">
        <v>150</v>
      </c>
      <c r="L7" s="22"/>
      <c r="M7" s="34" t="s">
        <v>150</v>
      </c>
      <c r="N7" s="22"/>
    </row>
    <row r="8" spans="1:14" ht="14.1">
      <c r="A8" s="25"/>
      <c r="B8" s="22"/>
      <c r="C8" s="24"/>
      <c r="D8" s="22"/>
      <c r="E8" s="25"/>
      <c r="F8" s="22"/>
      <c r="G8" s="24"/>
      <c r="H8" s="22"/>
      <c r="I8" s="24"/>
      <c r="J8" s="22"/>
      <c r="K8" s="24" t="s">
        <v>54</v>
      </c>
      <c r="L8" s="22"/>
      <c r="M8" s="24" t="s">
        <v>54</v>
      </c>
      <c r="N8" s="22"/>
    </row>
    <row r="9" spans="1:14" ht="14.1">
      <c r="A9" s="23"/>
      <c r="B9" s="22"/>
      <c r="C9" s="33"/>
      <c r="D9" s="22"/>
      <c r="E9" s="23"/>
      <c r="F9" s="22"/>
      <c r="G9" s="33"/>
      <c r="H9" s="22"/>
      <c r="I9" s="33"/>
      <c r="J9" s="22"/>
      <c r="K9" s="33" t="s">
        <v>76</v>
      </c>
      <c r="L9" s="22"/>
      <c r="M9" s="33" t="s">
        <v>76</v>
      </c>
      <c r="N9" s="22"/>
    </row>
    <row r="10" spans="1:14" ht="14.1">
      <c r="A10" s="21"/>
      <c r="B10" s="22"/>
      <c r="C10" s="27"/>
      <c r="D10" s="22"/>
      <c r="E10" s="21"/>
      <c r="F10" s="22"/>
      <c r="G10" s="27"/>
      <c r="H10" s="22"/>
      <c r="I10" s="27"/>
      <c r="J10" s="22"/>
      <c r="K10" s="27" t="s">
        <v>89</v>
      </c>
      <c r="L10" s="22"/>
      <c r="M10" s="27" t="s">
        <v>89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 t="s">
        <v>71</v>
      </c>
      <c r="L12" s="22"/>
      <c r="M12" s="28" t="s">
        <v>26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/>
      <c r="H13" s="31"/>
      <c r="I13" s="32"/>
      <c r="J13" s="31"/>
      <c r="K13" s="32" t="s">
        <v>151</v>
      </c>
      <c r="L13" s="31"/>
      <c r="M13" s="32" t="s">
        <v>152</v>
      </c>
      <c r="N13" s="31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26" t="s">
        <v>135</v>
      </c>
      <c r="B15" s="22"/>
      <c r="C15" s="26" t="s">
        <v>105</v>
      </c>
      <c r="D15" s="22"/>
      <c r="E15" s="26" t="s">
        <v>135</v>
      </c>
      <c r="F15" s="22"/>
      <c r="G15" s="26" t="s">
        <v>9</v>
      </c>
      <c r="H15" s="22"/>
      <c r="I15" s="34" t="s">
        <v>92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25" t="s">
        <v>54</v>
      </c>
      <c r="B16" s="22"/>
      <c r="C16" s="25" t="s">
        <v>54</v>
      </c>
      <c r="D16" s="22"/>
      <c r="E16" s="25" t="s">
        <v>54</v>
      </c>
      <c r="F16" s="22"/>
      <c r="G16" s="25" t="s">
        <v>54</v>
      </c>
      <c r="H16" s="22"/>
      <c r="I16" s="24" t="s">
        <v>42</v>
      </c>
      <c r="J16" s="22"/>
      <c r="K16" s="24" t="s">
        <v>42</v>
      </c>
      <c r="L16" s="22"/>
      <c r="M16" s="24" t="s">
        <v>42</v>
      </c>
      <c r="N16" s="22"/>
    </row>
    <row r="17" spans="1:14" ht="14.1">
      <c r="A17" s="23" t="s">
        <v>59</v>
      </c>
      <c r="B17" s="22"/>
      <c r="C17" s="23" t="s">
        <v>59</v>
      </c>
      <c r="D17" s="22"/>
      <c r="E17" s="23" t="s">
        <v>59</v>
      </c>
      <c r="F17" s="22"/>
      <c r="G17" s="23" t="s">
        <v>59</v>
      </c>
      <c r="H17" s="22"/>
      <c r="I17" s="23" t="s">
        <v>59</v>
      </c>
      <c r="J17" s="22"/>
      <c r="K17" s="23" t="s">
        <v>11</v>
      </c>
      <c r="L17" s="22"/>
      <c r="M17" s="23" t="s">
        <v>11</v>
      </c>
      <c r="N17" s="22"/>
    </row>
    <row r="18" spans="1:14" ht="14.1">
      <c r="A18" s="21" t="s">
        <v>24</v>
      </c>
      <c r="B18" s="22"/>
      <c r="C18" s="21" t="s">
        <v>24</v>
      </c>
      <c r="D18" s="22"/>
      <c r="E18" s="21" t="s">
        <v>24</v>
      </c>
      <c r="F18" s="22"/>
      <c r="G18" s="21" t="s">
        <v>24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27</v>
      </c>
      <c r="B20" s="22"/>
      <c r="C20" s="28" t="s">
        <v>27</v>
      </c>
      <c r="D20" s="22"/>
      <c r="E20" s="29" t="s">
        <v>28</v>
      </c>
      <c r="F20" s="22"/>
      <c r="G20" s="28" t="s">
        <v>26</v>
      </c>
      <c r="H20" s="22"/>
      <c r="I20" s="28" t="s">
        <v>27</v>
      </c>
      <c r="J20" s="22"/>
      <c r="K20" s="28" t="s">
        <v>153</v>
      </c>
      <c r="L20" s="22"/>
      <c r="M20" s="28" t="s">
        <v>153</v>
      </c>
      <c r="N20" s="22"/>
    </row>
    <row r="21" spans="1:14" ht="18" customHeight="1">
      <c r="A21" s="30" t="s">
        <v>50</v>
      </c>
      <c r="B21" s="22"/>
      <c r="C21" s="30" t="s">
        <v>128</v>
      </c>
      <c r="D21" s="22"/>
      <c r="E21" s="30" t="s">
        <v>128</v>
      </c>
      <c r="F21" s="22"/>
      <c r="G21" s="30" t="s">
        <v>154</v>
      </c>
      <c r="H21" s="22"/>
      <c r="I21" s="30" t="s">
        <v>50</v>
      </c>
      <c r="J21" s="22"/>
      <c r="K21" s="30" t="s">
        <v>50</v>
      </c>
      <c r="L21" s="22"/>
      <c r="M21" s="30" t="s">
        <v>50</v>
      </c>
      <c r="N21" s="22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26" t="s">
        <v>53</v>
      </c>
      <c r="B23" s="22"/>
      <c r="C23" s="26" t="s">
        <v>9</v>
      </c>
      <c r="D23" s="22"/>
      <c r="E23" s="26" t="s">
        <v>53</v>
      </c>
      <c r="F23" s="22"/>
      <c r="G23" s="26" t="s">
        <v>9</v>
      </c>
      <c r="H23" s="22"/>
      <c r="I23" s="34" t="s">
        <v>50</v>
      </c>
      <c r="J23" s="22"/>
      <c r="K23" s="34" t="s">
        <v>50</v>
      </c>
      <c r="L23" s="22"/>
      <c r="M23" s="34" t="s">
        <v>52</v>
      </c>
      <c r="N23" s="22"/>
    </row>
    <row r="24" spans="1:14" ht="14.1">
      <c r="A24" s="25" t="s">
        <v>42</v>
      </c>
      <c r="B24" s="22"/>
      <c r="C24" s="25" t="s">
        <v>42</v>
      </c>
      <c r="D24" s="22"/>
      <c r="E24" s="25" t="s">
        <v>42</v>
      </c>
      <c r="F24" s="22"/>
      <c r="G24" s="25" t="s">
        <v>42</v>
      </c>
      <c r="H24" s="22"/>
      <c r="I24" s="24" t="s">
        <v>16</v>
      </c>
      <c r="J24" s="22"/>
      <c r="K24" s="24" t="s">
        <v>16</v>
      </c>
      <c r="L24" s="22"/>
      <c r="M24" s="24" t="s">
        <v>16</v>
      </c>
      <c r="N24" s="22"/>
    </row>
    <row r="25" spans="1:14" ht="14.1">
      <c r="A25" s="23" t="s">
        <v>11</v>
      </c>
      <c r="B25" s="22"/>
      <c r="C25" s="23" t="s">
        <v>11</v>
      </c>
      <c r="D25" s="22"/>
      <c r="E25" s="23" t="s">
        <v>11</v>
      </c>
      <c r="F25" s="22"/>
      <c r="G25" s="23" t="s">
        <v>11</v>
      </c>
      <c r="H25" s="22"/>
      <c r="I25" s="23" t="s">
        <v>11</v>
      </c>
      <c r="J25" s="22"/>
      <c r="K25" s="23" t="s">
        <v>40</v>
      </c>
      <c r="L25" s="22"/>
      <c r="M25" s="23" t="s">
        <v>40</v>
      </c>
      <c r="N25" s="22"/>
    </row>
    <row r="26" spans="1:14" ht="14.1">
      <c r="A26" s="21" t="s">
        <v>15</v>
      </c>
      <c r="B26" s="22"/>
      <c r="C26" s="21" t="s">
        <v>15</v>
      </c>
      <c r="D26" s="22"/>
      <c r="E26" s="21" t="s">
        <v>15</v>
      </c>
      <c r="F26" s="22"/>
      <c r="G26" s="21" t="s">
        <v>15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43</v>
      </c>
      <c r="B27" s="22"/>
      <c r="C27" s="59" t="s">
        <v>43</v>
      </c>
      <c r="D27" s="22"/>
      <c r="E27" s="59" t="s">
        <v>43</v>
      </c>
      <c r="F27" s="22"/>
      <c r="G27" s="59" t="s">
        <v>43</v>
      </c>
      <c r="H27" s="22"/>
      <c r="I27" s="60" t="s">
        <v>43</v>
      </c>
      <c r="J27" s="22"/>
      <c r="K27" s="60" t="s">
        <v>43</v>
      </c>
      <c r="L27" s="22"/>
      <c r="M27" s="60" t="s">
        <v>43</v>
      </c>
      <c r="N27" s="22"/>
    </row>
    <row r="28" spans="1:14" ht="14.1">
      <c r="A28" s="29" t="s">
        <v>17</v>
      </c>
      <c r="B28" s="22"/>
      <c r="C28" s="28" t="s">
        <v>17</v>
      </c>
      <c r="D28" s="22"/>
      <c r="E28" s="29" t="s">
        <v>28</v>
      </c>
      <c r="F28" s="22"/>
      <c r="G28" s="28" t="s">
        <v>17</v>
      </c>
      <c r="H28" s="22"/>
      <c r="I28" s="28" t="s">
        <v>17</v>
      </c>
      <c r="J28" s="22"/>
      <c r="K28" s="28" t="s">
        <v>17</v>
      </c>
      <c r="L28" s="22"/>
      <c r="M28" s="28" t="s">
        <v>17</v>
      </c>
      <c r="N28" s="22"/>
    </row>
    <row r="29" spans="1:14" ht="18" customHeight="1">
      <c r="A29" s="30" t="s">
        <v>155</v>
      </c>
      <c r="B29" s="22"/>
      <c r="C29" s="30" t="s">
        <v>29</v>
      </c>
      <c r="D29" s="22"/>
      <c r="E29" s="30" t="s">
        <v>30</v>
      </c>
      <c r="F29" s="22"/>
      <c r="G29" s="30" t="s">
        <v>29</v>
      </c>
      <c r="H29" s="22"/>
      <c r="I29" s="30" t="s">
        <v>156</v>
      </c>
      <c r="J29" s="22"/>
      <c r="K29" s="30" t="s">
        <v>156</v>
      </c>
      <c r="L29" s="22"/>
      <c r="M29" s="30" t="s">
        <v>156</v>
      </c>
      <c r="N29" s="22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26" t="s">
        <v>157</v>
      </c>
      <c r="B31" s="22"/>
      <c r="C31" s="26" t="s">
        <v>50</v>
      </c>
      <c r="D31" s="22"/>
      <c r="E31" s="26" t="s">
        <v>157</v>
      </c>
      <c r="F31" s="22"/>
      <c r="G31" s="26" t="s">
        <v>50</v>
      </c>
      <c r="H31" s="22"/>
      <c r="I31" s="34" t="s">
        <v>85</v>
      </c>
      <c r="J31" s="22"/>
      <c r="K31" s="34" t="s">
        <v>24</v>
      </c>
      <c r="L31" s="22"/>
      <c r="M31" s="34" t="s">
        <v>24</v>
      </c>
      <c r="N31" s="22"/>
    </row>
    <row r="32" spans="1:14" ht="14.1">
      <c r="A32" s="25" t="s">
        <v>16</v>
      </c>
      <c r="B32" s="22"/>
      <c r="C32" s="25" t="s">
        <v>16</v>
      </c>
      <c r="D32" s="22"/>
      <c r="E32" s="25" t="s">
        <v>16</v>
      </c>
      <c r="F32" s="22"/>
      <c r="G32" s="25" t="s">
        <v>16</v>
      </c>
      <c r="H32" s="22"/>
      <c r="I32" s="24" t="s">
        <v>51</v>
      </c>
      <c r="J32" s="22"/>
      <c r="K32" s="24" t="s">
        <v>51</v>
      </c>
      <c r="L32" s="22"/>
      <c r="M32" s="24" t="s">
        <v>51</v>
      </c>
      <c r="N32" s="22"/>
    </row>
    <row r="33" spans="1:14" ht="14.1">
      <c r="A33" s="23" t="s">
        <v>158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23" t="s">
        <v>9</v>
      </c>
      <c r="L33" s="22"/>
      <c r="M33" s="23" t="s">
        <v>9</v>
      </c>
      <c r="N33" s="22"/>
    </row>
    <row r="34" spans="1:14" ht="14.1">
      <c r="A34" s="21" t="s">
        <v>24</v>
      </c>
      <c r="B34" s="22"/>
      <c r="C34" s="21" t="s">
        <v>15</v>
      </c>
      <c r="D34" s="22"/>
      <c r="E34" s="21" t="s">
        <v>15</v>
      </c>
      <c r="F34" s="22"/>
      <c r="G34" s="27" t="s">
        <v>89</v>
      </c>
      <c r="H34" s="22"/>
      <c r="I34" s="27" t="s">
        <v>89</v>
      </c>
      <c r="J34" s="22"/>
      <c r="K34" s="27" t="s">
        <v>89</v>
      </c>
      <c r="L34" s="22"/>
      <c r="M34" s="27" t="s">
        <v>89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29" t="s">
        <v>27</v>
      </c>
      <c r="D36" s="22"/>
      <c r="E36" s="29" t="s">
        <v>28</v>
      </c>
      <c r="F36" s="22"/>
      <c r="G36" s="28" t="s">
        <v>26</v>
      </c>
      <c r="H36" s="22"/>
      <c r="I36" s="28" t="s">
        <v>26</v>
      </c>
      <c r="J36" s="22"/>
      <c r="K36" s="28" t="s">
        <v>26</v>
      </c>
      <c r="L36" s="22"/>
      <c r="M36" s="28" t="s">
        <v>26</v>
      </c>
      <c r="N36" s="22"/>
    </row>
    <row r="37" spans="1:14" ht="18" customHeight="1">
      <c r="A37" s="30" t="s">
        <v>30</v>
      </c>
      <c r="B37" s="22"/>
      <c r="C37" s="30" t="s">
        <v>30</v>
      </c>
      <c r="D37" s="22"/>
      <c r="E37" s="30" t="s">
        <v>30</v>
      </c>
      <c r="F37" s="22"/>
      <c r="G37" s="30" t="s">
        <v>29</v>
      </c>
      <c r="H37" s="22"/>
      <c r="I37" s="30" t="s">
        <v>159</v>
      </c>
      <c r="J37" s="22"/>
      <c r="K37" s="30" t="s">
        <v>160</v>
      </c>
      <c r="L37" s="22"/>
      <c r="M37" s="30" t="s">
        <v>160</v>
      </c>
      <c r="N37" s="22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24</v>
      </c>
      <c r="B39" s="22"/>
      <c r="C39" s="26" t="s">
        <v>24</v>
      </c>
      <c r="D39" s="22"/>
      <c r="E39" s="26" t="s">
        <v>24</v>
      </c>
      <c r="F39" s="22"/>
      <c r="G39" s="26" t="s">
        <v>24</v>
      </c>
      <c r="H39" s="22"/>
      <c r="I39" s="26" t="s">
        <v>24</v>
      </c>
      <c r="J39" s="22"/>
      <c r="K39" s="26" t="s">
        <v>24</v>
      </c>
      <c r="L39" s="22"/>
      <c r="M39" s="26" t="s">
        <v>24</v>
      </c>
      <c r="N39" s="22"/>
    </row>
    <row r="40" spans="1:14" ht="14.1">
      <c r="A40" s="25" t="s">
        <v>51</v>
      </c>
      <c r="B40" s="22"/>
      <c r="C40" s="25" t="s">
        <v>51</v>
      </c>
      <c r="D40" s="22"/>
      <c r="E40" s="25" t="s">
        <v>51</v>
      </c>
      <c r="F40" s="22"/>
      <c r="G40" s="25" t="s">
        <v>51</v>
      </c>
      <c r="H40" s="22"/>
      <c r="I40" s="24" t="s">
        <v>12</v>
      </c>
      <c r="J40" s="22"/>
      <c r="K40" s="24" t="s">
        <v>12</v>
      </c>
      <c r="L40" s="22"/>
      <c r="M40" s="24" t="s">
        <v>12</v>
      </c>
      <c r="N40" s="22"/>
    </row>
    <row r="41" spans="1:14" ht="14.1">
      <c r="A41" s="23" t="s">
        <v>59</v>
      </c>
      <c r="B41" s="22"/>
      <c r="C41" s="23" t="s">
        <v>9</v>
      </c>
      <c r="D41" s="22"/>
      <c r="E41" s="23" t="s">
        <v>9</v>
      </c>
      <c r="F41" s="22"/>
      <c r="G41" s="23" t="s">
        <v>9</v>
      </c>
      <c r="H41" s="22"/>
      <c r="I41" s="23" t="s">
        <v>9</v>
      </c>
      <c r="J41" s="22"/>
      <c r="K41" s="33" t="s">
        <v>40</v>
      </c>
      <c r="L41" s="22"/>
      <c r="M41" s="33" t="s">
        <v>40</v>
      </c>
      <c r="N41" s="22"/>
    </row>
    <row r="42" spans="1:14" ht="14.1">
      <c r="A42" s="21" t="s">
        <v>89</v>
      </c>
      <c r="B42" s="22"/>
      <c r="C42" s="21" t="s">
        <v>89</v>
      </c>
      <c r="D42" s="22"/>
      <c r="E42" s="21" t="s">
        <v>89</v>
      </c>
      <c r="F42" s="22"/>
      <c r="G42" s="21" t="s">
        <v>89</v>
      </c>
      <c r="H42" s="22"/>
      <c r="I42" s="27" t="s">
        <v>24</v>
      </c>
      <c r="J42" s="22"/>
      <c r="K42" s="27" t="s">
        <v>24</v>
      </c>
      <c r="L42" s="22"/>
      <c r="M42" s="27" t="s">
        <v>24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161</v>
      </c>
      <c r="B44" s="22"/>
      <c r="C44" s="28" t="s">
        <v>26</v>
      </c>
      <c r="D44" s="22"/>
      <c r="E44" s="29" t="s">
        <v>162</v>
      </c>
      <c r="F44" s="22"/>
      <c r="G44" s="28" t="s">
        <v>17</v>
      </c>
      <c r="H44" s="22"/>
      <c r="I44" s="28" t="s">
        <v>162</v>
      </c>
      <c r="J44" s="22"/>
      <c r="K44" s="28" t="s">
        <v>162</v>
      </c>
      <c r="L44" s="22"/>
      <c r="M44" s="28" t="s">
        <v>162</v>
      </c>
      <c r="N44" s="22"/>
    </row>
    <row r="45" spans="1:14" ht="18" customHeight="1">
      <c r="A45" s="30" t="s">
        <v>50</v>
      </c>
      <c r="B45" s="22"/>
      <c r="C45" s="30" t="s">
        <v>163</v>
      </c>
      <c r="D45" s="22"/>
      <c r="E45" s="30" t="s">
        <v>163</v>
      </c>
      <c r="F45" s="22"/>
      <c r="G45" s="30" t="s">
        <v>63</v>
      </c>
      <c r="H45" s="22"/>
      <c r="I45" s="30" t="s">
        <v>50</v>
      </c>
      <c r="J45" s="22"/>
      <c r="K45" s="30" t="s">
        <v>50</v>
      </c>
      <c r="L45" s="22"/>
      <c r="M45" s="30" t="s">
        <v>50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 t="s">
        <v>24</v>
      </c>
      <c r="B47" s="22"/>
      <c r="C47" s="34"/>
      <c r="D47" s="22"/>
      <c r="E47" s="35" t="s">
        <v>164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 t="s">
        <v>12</v>
      </c>
      <c r="B48" s="22"/>
      <c r="C48" s="24"/>
      <c r="D48" s="22"/>
      <c r="E48" s="35" t="s">
        <v>165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 t="s">
        <v>9</v>
      </c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 t="s">
        <v>24</v>
      </c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17</v>
      </c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2" t="s">
        <v>63</v>
      </c>
      <c r="B53" s="31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" workbookViewId="0">
      <selection activeCell="A44" sqref="A4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EDATE('©'!A17,35)</f>
        <v>45809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0.75" customHeight="1">
      <c r="A4" s="48" t="str">
        <f>UPPER(TEXT(A1,"mmmm yyyy"))</f>
        <v>JUNE 2025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A15</f>
        <v>45810</v>
      </c>
      <c r="B5" s="51"/>
      <c r="C5" s="50">
        <f>C15</f>
        <v>45811</v>
      </c>
      <c r="D5" s="51"/>
      <c r="E5" s="50">
        <f>E15</f>
        <v>45812</v>
      </c>
      <c r="F5" s="51"/>
      <c r="G5" s="50">
        <f>G15</f>
        <v>45813</v>
      </c>
      <c r="H5" s="51"/>
      <c r="I5" s="50">
        <f>I15</f>
        <v>45814</v>
      </c>
      <c r="J5" s="51"/>
      <c r="K5" s="50">
        <f>K15</f>
        <v>45815</v>
      </c>
      <c r="L5" s="51"/>
      <c r="M5" s="50">
        <f>M15</f>
        <v>45816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45809</v>
      </c>
      <c r="N6" s="5"/>
    </row>
    <row r="7" spans="1:14" ht="14.1">
      <c r="A7" s="26"/>
      <c r="B7" s="22"/>
      <c r="C7" s="34"/>
      <c r="D7" s="22"/>
      <c r="E7" s="26"/>
      <c r="F7" s="22"/>
      <c r="G7" s="26"/>
      <c r="H7" s="22"/>
      <c r="I7" s="26"/>
      <c r="J7" s="22"/>
      <c r="K7" s="26"/>
      <c r="L7" s="22"/>
      <c r="M7" s="26" t="s">
        <v>174</v>
      </c>
      <c r="N7" s="22"/>
    </row>
    <row r="8" spans="1:14" ht="14.1">
      <c r="A8" s="25"/>
      <c r="B8" s="22"/>
      <c r="C8" s="24"/>
      <c r="D8" s="22"/>
      <c r="E8" s="25"/>
      <c r="F8" s="22"/>
      <c r="G8" s="25"/>
      <c r="H8" s="22"/>
      <c r="I8" s="25"/>
      <c r="J8" s="22"/>
      <c r="K8" s="25"/>
      <c r="L8" s="22"/>
      <c r="M8" s="25"/>
      <c r="N8" s="22"/>
    </row>
    <row r="9" spans="1:14" ht="14.1">
      <c r="A9" s="23"/>
      <c r="B9" s="22"/>
      <c r="C9" s="33"/>
      <c r="D9" s="22"/>
      <c r="E9" s="23"/>
      <c r="F9" s="22"/>
      <c r="G9" s="23"/>
      <c r="H9" s="22"/>
      <c r="I9" s="23"/>
      <c r="J9" s="22"/>
      <c r="K9" s="23"/>
      <c r="L9" s="22"/>
      <c r="M9" s="23"/>
      <c r="N9" s="22"/>
    </row>
    <row r="10" spans="1:14" ht="14.1">
      <c r="A10" s="21"/>
      <c r="B10" s="22"/>
      <c r="C10" s="27"/>
      <c r="D10" s="22"/>
      <c r="E10" s="21"/>
      <c r="F10" s="22"/>
      <c r="G10" s="21"/>
      <c r="H10" s="22"/>
      <c r="I10" s="21"/>
      <c r="J10" s="22"/>
      <c r="K10" s="21"/>
      <c r="L10" s="22"/>
      <c r="M10" s="21"/>
      <c r="N10" s="22"/>
    </row>
    <row r="11" spans="1:14" ht="14.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/>
      <c r="B13" s="22"/>
      <c r="C13" s="32"/>
      <c r="D13" s="31"/>
      <c r="E13" s="30"/>
      <c r="F13" s="22"/>
      <c r="G13" s="30"/>
      <c r="H13" s="22"/>
      <c r="I13" s="30"/>
      <c r="J13" s="22"/>
      <c r="K13" s="30"/>
      <c r="L13" s="22"/>
      <c r="M13" s="30"/>
      <c r="N13" s="22"/>
    </row>
    <row r="14" spans="1:14" ht="18" customHeight="1">
      <c r="A14" s="61"/>
      <c r="B14" s="31"/>
      <c r="C14" s="61"/>
      <c r="D14" s="31"/>
      <c r="E14" s="61"/>
      <c r="F14" s="31"/>
      <c r="G14" s="61"/>
      <c r="H14" s="31"/>
      <c r="I14" s="61"/>
      <c r="J14" s="31"/>
      <c r="K14" s="61"/>
      <c r="L14" s="31"/>
      <c r="M14" s="61" t="s">
        <v>175</v>
      </c>
      <c r="N14" s="31"/>
    </row>
    <row r="15" spans="1:14" ht="18" customHeight="1">
      <c r="A15" s="2">
        <f>M6+1</f>
        <v>45810</v>
      </c>
      <c r="B15" s="3"/>
      <c r="C15" s="2">
        <f>A15+1</f>
        <v>45811</v>
      </c>
      <c r="D15" s="3"/>
      <c r="E15" s="2">
        <f>C15+1</f>
        <v>45812</v>
      </c>
      <c r="F15" s="3"/>
      <c r="G15" s="2">
        <f>E15+1</f>
        <v>45813</v>
      </c>
      <c r="H15" s="3"/>
      <c r="I15" s="2">
        <f>G15+1</f>
        <v>45814</v>
      </c>
      <c r="J15" s="3"/>
      <c r="K15" s="4">
        <f>I15+1</f>
        <v>45815</v>
      </c>
      <c r="L15" s="5"/>
      <c r="M15" s="4">
        <f>K15+1</f>
        <v>45816</v>
      </c>
      <c r="N15" s="5"/>
    </row>
    <row r="16" spans="1:14" ht="14.1">
      <c r="A16" s="26" t="s">
        <v>176</v>
      </c>
      <c r="B16" s="22"/>
      <c r="C16" s="26" t="s">
        <v>176</v>
      </c>
      <c r="D16" s="22"/>
      <c r="E16" s="26" t="s">
        <v>176</v>
      </c>
      <c r="F16" s="22"/>
      <c r="G16" s="26" t="s">
        <v>176</v>
      </c>
      <c r="H16" s="22"/>
      <c r="I16" s="26" t="s">
        <v>176</v>
      </c>
      <c r="J16" s="22"/>
      <c r="K16" s="26" t="s">
        <v>176</v>
      </c>
      <c r="L16" s="22"/>
      <c r="M16" s="26" t="s">
        <v>176</v>
      </c>
      <c r="N16" s="22"/>
    </row>
    <row r="17" spans="1:14" ht="14.1">
      <c r="A17" s="25" t="s">
        <v>174</v>
      </c>
      <c r="B17" s="22"/>
      <c r="C17" s="25" t="s">
        <v>174</v>
      </c>
      <c r="D17" s="22"/>
      <c r="E17" s="25" t="s">
        <v>174</v>
      </c>
      <c r="F17" s="22"/>
      <c r="G17" s="25" t="s">
        <v>174</v>
      </c>
      <c r="H17" s="22"/>
      <c r="I17" s="25" t="s">
        <v>174</v>
      </c>
      <c r="J17" s="22"/>
      <c r="K17" s="24"/>
      <c r="L17" s="22"/>
      <c r="M17" s="24"/>
      <c r="N17" s="22"/>
    </row>
    <row r="18" spans="1:14" ht="14.1">
      <c r="A18" s="23" t="s">
        <v>177</v>
      </c>
      <c r="B18" s="22"/>
      <c r="C18" s="23" t="s">
        <v>177</v>
      </c>
      <c r="D18" s="22"/>
      <c r="E18" s="23" t="s">
        <v>178</v>
      </c>
      <c r="F18" s="22"/>
      <c r="G18" s="23" t="s">
        <v>179</v>
      </c>
      <c r="H18" s="22"/>
      <c r="I18" s="23" t="s">
        <v>177</v>
      </c>
      <c r="J18" s="22"/>
      <c r="K18" s="23" t="s">
        <v>177</v>
      </c>
      <c r="L18" s="22"/>
      <c r="M18" s="23" t="s">
        <v>177</v>
      </c>
      <c r="N18" s="22"/>
    </row>
    <row r="19" spans="1:14" ht="14.1">
      <c r="A19" s="21" t="s">
        <v>180</v>
      </c>
      <c r="B19" s="22"/>
      <c r="C19" s="21" t="s">
        <v>180</v>
      </c>
      <c r="D19" s="22"/>
      <c r="E19" s="21" t="s">
        <v>180</v>
      </c>
      <c r="F19" s="22"/>
      <c r="G19" s="21" t="s">
        <v>180</v>
      </c>
      <c r="H19" s="22"/>
      <c r="I19" s="21" t="s">
        <v>180</v>
      </c>
      <c r="J19" s="22"/>
      <c r="K19" s="21"/>
      <c r="L19" s="22"/>
      <c r="M19" s="21"/>
      <c r="N19" s="22"/>
    </row>
    <row r="20" spans="1:14" ht="14.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4.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181</v>
      </c>
      <c r="B22" s="22"/>
      <c r="C22" s="30" t="s">
        <v>181</v>
      </c>
      <c r="D22" s="22"/>
      <c r="E22" s="30" t="s">
        <v>181</v>
      </c>
      <c r="F22" s="22"/>
      <c r="G22" s="30" t="s">
        <v>181</v>
      </c>
      <c r="H22" s="22"/>
      <c r="I22" s="30" t="s">
        <v>181</v>
      </c>
      <c r="J22" s="22"/>
      <c r="K22" s="30"/>
      <c r="L22" s="22"/>
      <c r="M22" s="30"/>
      <c r="N22" s="22"/>
    </row>
    <row r="23" spans="1:14" ht="18" customHeight="1">
      <c r="A23" s="61" t="s">
        <v>182</v>
      </c>
      <c r="B23" s="31"/>
      <c r="C23" s="61" t="s">
        <v>183</v>
      </c>
      <c r="D23" s="31"/>
      <c r="E23" s="61" t="s">
        <v>184</v>
      </c>
      <c r="F23" s="31"/>
      <c r="G23" s="61" t="s">
        <v>183</v>
      </c>
      <c r="H23" s="31"/>
      <c r="I23" s="61" t="s">
        <v>185</v>
      </c>
      <c r="J23" s="31"/>
      <c r="K23" s="61" t="s">
        <v>183</v>
      </c>
      <c r="L23" s="31"/>
      <c r="M23" s="61" t="s">
        <v>183</v>
      </c>
      <c r="N23" s="31"/>
    </row>
    <row r="24" spans="1:14" ht="18" customHeight="1">
      <c r="A24" s="2">
        <f>M15+1</f>
        <v>45817</v>
      </c>
      <c r="B24" s="3"/>
      <c r="C24" s="2">
        <f>A24+1</f>
        <v>45818</v>
      </c>
      <c r="D24" s="3"/>
      <c r="E24" s="2">
        <f>C24+1</f>
        <v>45819</v>
      </c>
      <c r="F24" s="3"/>
      <c r="G24" s="2">
        <f>E24+1</f>
        <v>45820</v>
      </c>
      <c r="H24" s="3"/>
      <c r="I24" s="2">
        <f>G24+1</f>
        <v>45821</v>
      </c>
      <c r="J24" s="3"/>
      <c r="K24" s="4">
        <f>I24+1</f>
        <v>45822</v>
      </c>
      <c r="L24" s="5"/>
      <c r="M24" s="4">
        <f>K24+1</f>
        <v>45823</v>
      </c>
      <c r="N24" s="5"/>
    </row>
    <row r="25" spans="1:14" ht="14.1">
      <c r="A25" s="26" t="s">
        <v>186</v>
      </c>
      <c r="B25" s="22"/>
      <c r="C25" s="26" t="s">
        <v>186</v>
      </c>
      <c r="D25" s="22"/>
      <c r="E25" s="26" t="s">
        <v>186</v>
      </c>
      <c r="F25" s="22"/>
      <c r="G25" s="26" t="s">
        <v>186</v>
      </c>
      <c r="H25" s="22"/>
      <c r="I25" s="26" t="s">
        <v>186</v>
      </c>
      <c r="J25" s="22"/>
      <c r="K25" s="26" t="s">
        <v>186</v>
      </c>
      <c r="L25" s="22"/>
      <c r="M25" s="26" t="s">
        <v>186</v>
      </c>
      <c r="N25" s="22"/>
    </row>
    <row r="26" spans="1:14" ht="14.1">
      <c r="A26" s="25" t="s">
        <v>187</v>
      </c>
      <c r="B26" s="22"/>
      <c r="C26" s="25" t="s">
        <v>187</v>
      </c>
      <c r="D26" s="22"/>
      <c r="E26" s="25" t="s">
        <v>187</v>
      </c>
      <c r="F26" s="22"/>
      <c r="G26" s="25" t="s">
        <v>187</v>
      </c>
      <c r="H26" s="22"/>
      <c r="I26" s="25" t="s">
        <v>187</v>
      </c>
      <c r="J26" s="22"/>
      <c r="K26" s="24"/>
      <c r="L26" s="22"/>
      <c r="M26" s="24"/>
      <c r="N26" s="22"/>
    </row>
    <row r="27" spans="1:14" ht="14.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4.1">
      <c r="A28" s="21" t="s">
        <v>178</v>
      </c>
      <c r="B28" s="22"/>
      <c r="C28" s="21" t="s">
        <v>178</v>
      </c>
      <c r="D28" s="22"/>
      <c r="E28" s="21" t="s">
        <v>178</v>
      </c>
      <c r="F28" s="22"/>
      <c r="G28" s="21" t="s">
        <v>178</v>
      </c>
      <c r="H28" s="22"/>
      <c r="I28" s="21" t="s">
        <v>189</v>
      </c>
      <c r="J28" s="22"/>
      <c r="K28" s="21"/>
      <c r="L28" s="22"/>
      <c r="M28" s="21"/>
      <c r="N28" s="22"/>
    </row>
    <row r="29" spans="1:14" ht="14.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4.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43</v>
      </c>
      <c r="B31" s="22"/>
      <c r="C31" s="30" t="s">
        <v>43</v>
      </c>
      <c r="D31" s="22"/>
      <c r="E31" s="30" t="s">
        <v>43</v>
      </c>
      <c r="F31" s="22"/>
      <c r="G31" s="30" t="s">
        <v>43</v>
      </c>
      <c r="H31" s="22"/>
      <c r="I31" s="30" t="s">
        <v>43</v>
      </c>
      <c r="J31" s="22"/>
      <c r="K31" s="30"/>
      <c r="L31" s="22"/>
      <c r="M31" s="30"/>
      <c r="N31" s="22"/>
    </row>
    <row r="32" spans="1:14" ht="18" customHeight="1">
      <c r="A32" s="61" t="s">
        <v>175</v>
      </c>
      <c r="B32" s="31"/>
      <c r="C32" s="61" t="s">
        <v>183</v>
      </c>
      <c r="D32" s="31"/>
      <c r="E32" s="61" t="s">
        <v>184</v>
      </c>
      <c r="F32" s="31"/>
      <c r="G32" s="61" t="s">
        <v>183</v>
      </c>
      <c r="H32" s="31"/>
      <c r="I32" s="61" t="s">
        <v>185</v>
      </c>
      <c r="J32" s="31"/>
      <c r="K32" s="61" t="s">
        <v>182</v>
      </c>
      <c r="L32" s="31"/>
      <c r="M32" s="61" t="s">
        <v>182</v>
      </c>
      <c r="N32" s="31"/>
    </row>
    <row r="33" spans="1:14" ht="18" customHeight="1">
      <c r="A33" s="2">
        <f>M24+1</f>
        <v>45824</v>
      </c>
      <c r="B33" s="3"/>
      <c r="C33" s="2">
        <f>A33+1</f>
        <v>45825</v>
      </c>
      <c r="D33" s="3"/>
      <c r="E33" s="2">
        <f>C33+1</f>
        <v>45826</v>
      </c>
      <c r="F33" s="3"/>
      <c r="G33" s="2">
        <f>E33+1</f>
        <v>45827</v>
      </c>
      <c r="H33" s="3"/>
      <c r="I33" s="2">
        <f>G33+1</f>
        <v>45828</v>
      </c>
      <c r="J33" s="3"/>
      <c r="K33" s="4">
        <f>I33+1</f>
        <v>45829</v>
      </c>
      <c r="L33" s="5"/>
      <c r="M33" s="4">
        <f>K33+1</f>
        <v>45830</v>
      </c>
      <c r="N33" s="5"/>
    </row>
    <row r="34" spans="1:14" ht="14.1">
      <c r="A34" s="26" t="s">
        <v>174</v>
      </c>
      <c r="B34" s="22"/>
      <c r="C34" s="26" t="s">
        <v>174</v>
      </c>
      <c r="D34" s="22"/>
      <c r="E34" s="26" t="s">
        <v>174</v>
      </c>
      <c r="F34" s="22"/>
      <c r="G34" s="26" t="s">
        <v>174</v>
      </c>
      <c r="H34" s="22"/>
      <c r="I34" s="26" t="s">
        <v>174</v>
      </c>
      <c r="J34" s="22"/>
      <c r="K34" s="26" t="s">
        <v>43</v>
      </c>
      <c r="L34" s="22"/>
      <c r="M34" s="26" t="s">
        <v>43</v>
      </c>
      <c r="N34" s="22"/>
    </row>
    <row r="35" spans="1:14" ht="14.1">
      <c r="A35" s="25" t="s">
        <v>190</v>
      </c>
      <c r="B35" s="22"/>
      <c r="C35" s="25" t="s">
        <v>190</v>
      </c>
      <c r="D35" s="22"/>
      <c r="E35" s="25" t="s">
        <v>190</v>
      </c>
      <c r="F35" s="22"/>
      <c r="G35" s="25" t="s">
        <v>190</v>
      </c>
      <c r="H35" s="22"/>
      <c r="I35" s="25" t="s">
        <v>190</v>
      </c>
      <c r="J35" s="22"/>
      <c r="K35" s="24"/>
      <c r="L35" s="22"/>
      <c r="M35" s="24"/>
      <c r="N35" s="22"/>
    </row>
    <row r="36" spans="1:14" ht="29.25" customHeight="1">
      <c r="A36" s="23" t="s">
        <v>191</v>
      </c>
      <c r="B36" s="22"/>
      <c r="C36" s="23" t="s">
        <v>191</v>
      </c>
      <c r="D36" s="22"/>
      <c r="E36" s="23" t="s">
        <v>191</v>
      </c>
      <c r="F36" s="22"/>
      <c r="G36" s="23" t="s">
        <v>191</v>
      </c>
      <c r="H36" s="22"/>
      <c r="I36" s="23" t="s">
        <v>191</v>
      </c>
      <c r="J36" s="22"/>
      <c r="K36" s="23" t="s">
        <v>191</v>
      </c>
      <c r="L36" s="22"/>
      <c r="M36" s="23" t="s">
        <v>191</v>
      </c>
      <c r="N36" s="22"/>
    </row>
    <row r="37" spans="1:14" ht="14.1">
      <c r="A37" s="21" t="s">
        <v>178</v>
      </c>
      <c r="B37" s="22"/>
      <c r="C37" s="21" t="s">
        <v>178</v>
      </c>
      <c r="D37" s="22"/>
      <c r="E37" s="21" t="s">
        <v>178</v>
      </c>
      <c r="F37" s="22"/>
      <c r="G37" s="21" t="s">
        <v>178</v>
      </c>
      <c r="H37" s="22"/>
      <c r="I37" s="21" t="s">
        <v>178</v>
      </c>
      <c r="J37" s="22"/>
      <c r="K37" s="27"/>
      <c r="L37" s="22"/>
      <c r="M37" s="27"/>
      <c r="N37" s="22"/>
    </row>
    <row r="38" spans="1:14" ht="14.1">
      <c r="A38" s="59"/>
      <c r="B38" s="22"/>
      <c r="C38" s="59"/>
      <c r="D38" s="22"/>
      <c r="E38" s="59"/>
      <c r="F38" s="22"/>
      <c r="G38" s="60"/>
      <c r="H38" s="62"/>
      <c r="I38" s="59"/>
      <c r="J38" s="22"/>
      <c r="K38" s="59"/>
      <c r="L38" s="22"/>
      <c r="M38" s="59"/>
      <c r="N38" s="22"/>
    </row>
    <row r="39" spans="1:14" ht="14.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192</v>
      </c>
      <c r="B40" s="22"/>
      <c r="C40" s="30" t="s">
        <v>192</v>
      </c>
      <c r="D40" s="22"/>
      <c r="E40" s="30" t="s">
        <v>192</v>
      </c>
      <c r="F40" s="22"/>
      <c r="G40" s="30" t="s">
        <v>192</v>
      </c>
      <c r="H40" s="22"/>
      <c r="I40" s="30" t="s">
        <v>192</v>
      </c>
      <c r="J40" s="22"/>
      <c r="K40" s="30"/>
      <c r="L40" s="22"/>
      <c r="M40" s="30"/>
      <c r="N40" s="22"/>
    </row>
    <row r="41" spans="1:14" ht="18" customHeight="1">
      <c r="A41" s="61" t="s">
        <v>175</v>
      </c>
      <c r="B41" s="31"/>
      <c r="C41" s="61" t="s">
        <v>185</v>
      </c>
      <c r="D41" s="31"/>
      <c r="E41" s="61" t="s">
        <v>193</v>
      </c>
      <c r="F41" s="31"/>
      <c r="G41" s="61" t="s">
        <v>182</v>
      </c>
      <c r="H41" s="31"/>
      <c r="I41" s="61" t="s">
        <v>185</v>
      </c>
      <c r="J41" s="31"/>
      <c r="K41" s="61" t="s">
        <v>194</v>
      </c>
      <c r="L41" s="31"/>
      <c r="M41" s="61" t="s">
        <v>194</v>
      </c>
      <c r="N41" s="31"/>
    </row>
    <row r="42" spans="1:14" ht="18" customHeight="1">
      <c r="A42" s="2">
        <f>IF(M33="","",IF(MONTH(M33+1)&lt;&gt;MONTH($A$1),"",M33+1))</f>
        <v>45831</v>
      </c>
      <c r="B42" s="3"/>
      <c r="C42" s="2">
        <f>IF(A42="","",IF(MONTH(A42+1)&lt;&gt;MONTH($A$1),"",A42+1))</f>
        <v>45832</v>
      </c>
      <c r="D42" s="3"/>
      <c r="E42" s="2">
        <f>IF(C42="","",IF(MONTH(C42+1)&lt;&gt;MONTH($A$1),"",C42+1))</f>
        <v>45833</v>
      </c>
      <c r="F42" s="3"/>
      <c r="G42" s="2">
        <f>IF(E42="","",IF(MONTH(E42+1)&lt;&gt;MONTH($A$1),"",E42+1))</f>
        <v>45834</v>
      </c>
      <c r="H42" s="3"/>
      <c r="I42" s="2">
        <f>IF(G42="","",IF(MONTH(G42+1)&lt;&gt;MONTH($A$1),"",G42+1))</f>
        <v>45835</v>
      </c>
      <c r="J42" s="3"/>
      <c r="K42" s="4">
        <f>IF(I42="","",IF(MONTH(I42+1)&lt;&gt;MONTH($A$1),"",I42+1))</f>
        <v>45836</v>
      </c>
      <c r="L42" s="5"/>
      <c r="M42" s="4">
        <f>IF(K42="","",IF(MONTH(K42+1)&lt;&gt;MONTH($A$1),"",K42+1))</f>
        <v>45837</v>
      </c>
      <c r="N42" s="5"/>
    </row>
    <row r="43" spans="1:14" ht="14.1">
      <c r="A43" s="26" t="s">
        <v>187</v>
      </c>
      <c r="B43" s="22"/>
      <c r="C43" s="26" t="s">
        <v>187</v>
      </c>
      <c r="D43" s="22"/>
      <c r="E43" s="26" t="s">
        <v>187</v>
      </c>
      <c r="F43" s="22"/>
      <c r="G43" s="26" t="s">
        <v>187</v>
      </c>
      <c r="H43" s="22"/>
      <c r="I43" s="26" t="s">
        <v>187</v>
      </c>
      <c r="J43" s="22"/>
      <c r="K43" s="26" t="s">
        <v>187</v>
      </c>
      <c r="L43" s="22"/>
      <c r="M43" s="26" t="s">
        <v>187</v>
      </c>
      <c r="N43" s="22"/>
    </row>
    <row r="44" spans="1:14" ht="14.1">
      <c r="A44" s="25" t="s">
        <v>195</v>
      </c>
      <c r="B44" s="22"/>
      <c r="C44" s="25" t="s">
        <v>195</v>
      </c>
      <c r="D44" s="22"/>
      <c r="E44" s="25" t="s">
        <v>195</v>
      </c>
      <c r="F44" s="22"/>
      <c r="G44" s="25" t="s">
        <v>195</v>
      </c>
      <c r="H44" s="22"/>
      <c r="I44" s="25" t="s">
        <v>195</v>
      </c>
      <c r="J44" s="22"/>
      <c r="K44" s="24"/>
      <c r="L44" s="22"/>
      <c r="M44" s="24"/>
      <c r="N44" s="22"/>
    </row>
    <row r="45" spans="1:14" ht="40.5" customHeight="1">
      <c r="A45" s="23" t="s">
        <v>177</v>
      </c>
      <c r="B45" s="22"/>
      <c r="C45" s="23" t="s">
        <v>177</v>
      </c>
      <c r="D45" s="22"/>
      <c r="E45" s="23" t="s">
        <v>177</v>
      </c>
      <c r="F45" s="22"/>
      <c r="G45" s="23" t="s">
        <v>177</v>
      </c>
      <c r="H45" s="22"/>
      <c r="I45" s="23" t="s">
        <v>177</v>
      </c>
      <c r="J45" s="22"/>
      <c r="K45" s="23" t="s">
        <v>177</v>
      </c>
      <c r="L45" s="22"/>
      <c r="M45" s="23" t="s">
        <v>177</v>
      </c>
      <c r="N45" s="22"/>
    </row>
    <row r="46" spans="1:14" ht="14.1">
      <c r="A46" s="21" t="s">
        <v>196</v>
      </c>
      <c r="B46" s="22"/>
      <c r="C46" s="21" t="s">
        <v>196</v>
      </c>
      <c r="D46" s="22"/>
      <c r="E46" s="21" t="s">
        <v>196</v>
      </c>
      <c r="F46" s="22"/>
      <c r="G46" s="21" t="s">
        <v>196</v>
      </c>
      <c r="H46" s="22"/>
      <c r="I46" s="21" t="s">
        <v>196</v>
      </c>
      <c r="J46" s="22"/>
      <c r="K46" s="27"/>
      <c r="L46" s="22"/>
      <c r="M46" s="27"/>
      <c r="N46" s="22"/>
    </row>
    <row r="47" spans="1:14" ht="14.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4.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191</v>
      </c>
      <c r="B49" s="22"/>
      <c r="C49" s="30" t="s">
        <v>191</v>
      </c>
      <c r="D49" s="22"/>
      <c r="E49" s="30" t="s">
        <v>191</v>
      </c>
      <c r="F49" s="22"/>
      <c r="G49" s="30" t="s">
        <v>191</v>
      </c>
      <c r="H49" s="22"/>
      <c r="I49" s="30" t="s">
        <v>191</v>
      </c>
      <c r="J49" s="22"/>
      <c r="K49" s="32"/>
      <c r="L49" s="31"/>
      <c r="M49" s="32"/>
      <c r="N49" s="31"/>
    </row>
    <row r="50" spans="1:14" ht="18" customHeight="1">
      <c r="A50" s="61" t="s">
        <v>182</v>
      </c>
      <c r="B50" s="31"/>
      <c r="C50" s="61" t="s">
        <v>183</v>
      </c>
      <c r="D50" s="31"/>
      <c r="E50" s="61" t="s">
        <v>185</v>
      </c>
      <c r="F50" s="31"/>
      <c r="G50" s="61" t="s">
        <v>183</v>
      </c>
      <c r="H50" s="31"/>
      <c r="I50" s="61" t="s">
        <v>197</v>
      </c>
      <c r="J50" s="31"/>
      <c r="K50" s="61" t="s">
        <v>185</v>
      </c>
      <c r="L50" s="31"/>
      <c r="M50" s="61" t="s">
        <v>185</v>
      </c>
      <c r="N50" s="31"/>
    </row>
    <row r="51" spans="1:14" ht="18" customHeight="1">
      <c r="A51" s="2">
        <f>IF(M42="","",IF(MONTH(M42+1)&lt;&gt;MONTH($A$1),"",M42+1))</f>
        <v>45838</v>
      </c>
      <c r="B51" s="3"/>
      <c r="C51" s="2" t="str">
        <f>IF(A51="","",IF(MONTH(A51+1)&lt;&gt;MONTH($A$1),"",A51+1))</f>
        <v/>
      </c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4.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4.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4.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4.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4.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A38:B38"/>
    <mergeCell ref="C38:D38"/>
    <mergeCell ref="E38:F38"/>
    <mergeCell ref="G38:H38"/>
    <mergeCell ref="I38:J38"/>
    <mergeCell ref="K38:L38"/>
    <mergeCell ref="M38:N38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29:B29"/>
    <mergeCell ref="C29:D29"/>
    <mergeCell ref="E29:F29"/>
    <mergeCell ref="G29:H29"/>
    <mergeCell ref="I29:J29"/>
    <mergeCell ref="K29:L29"/>
    <mergeCell ref="M29:N29"/>
    <mergeCell ref="A30:B30"/>
    <mergeCell ref="C30:D30"/>
    <mergeCell ref="E30:F30"/>
    <mergeCell ref="G30:H30"/>
    <mergeCell ref="I30:J30"/>
    <mergeCell ref="K30:L30"/>
    <mergeCell ref="M30:N30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E51:F51"/>
    <mergeCell ref="G51:N51"/>
    <mergeCell ref="A52:B52"/>
    <mergeCell ref="C52:D52"/>
    <mergeCell ref="E52:N52"/>
    <mergeCell ref="C53:D53"/>
    <mergeCell ref="E53:N53"/>
    <mergeCell ref="E54:N5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4:B14"/>
    <mergeCell ref="C14:D14"/>
    <mergeCell ref="E14:F14"/>
    <mergeCell ref="G14:H14"/>
    <mergeCell ref="I14:J14"/>
    <mergeCell ref="K14:L14"/>
    <mergeCell ref="M14:N14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EDATE('©'!A17,36)</f>
        <v>45839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JULY 2025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45845</v>
      </c>
      <c r="B5" s="51"/>
      <c r="C5" s="50">
        <f>C15</f>
        <v>45846</v>
      </c>
      <c r="D5" s="51"/>
      <c r="E5" s="50">
        <f>E15</f>
        <v>45847</v>
      </c>
      <c r="F5" s="51"/>
      <c r="G5" s="50">
        <f>G15</f>
        <v>45848</v>
      </c>
      <c r="H5" s="51"/>
      <c r="I5" s="50">
        <f>I15</f>
        <v>45849</v>
      </c>
      <c r="J5" s="51"/>
      <c r="K5" s="50">
        <f>K15</f>
        <v>45850</v>
      </c>
      <c r="L5" s="51"/>
      <c r="M5" s="50">
        <f>M15</f>
        <v>45851</v>
      </c>
      <c r="N5" s="5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45839</v>
      </c>
      <c r="D6" s="3"/>
      <c r="E6" s="2">
        <f>IF(C6="",IF(WEEKDAY($A$1,1)=MOD(startday,7)+2,$A$1,""),C6+1)</f>
        <v>45840</v>
      </c>
      <c r="F6" s="3"/>
      <c r="G6" s="2">
        <f>IF(E6="",IF(WEEKDAY($A$1,1)=MOD(startday,7)+3,$A$1,""),E6+1)</f>
        <v>45841</v>
      </c>
      <c r="H6" s="3"/>
      <c r="I6" s="2">
        <f>IF(G6="",IF(WEEKDAY($A$1,1)=MOD(startday,7)+4,$A$1,""),G6+1)</f>
        <v>45842</v>
      </c>
      <c r="J6" s="3" t="s">
        <v>198</v>
      </c>
      <c r="K6" s="4">
        <f>IF(I6="",IF(WEEKDAY($A$1,1)=MOD(startday,7)+5,$A$1,""),I6+1)</f>
        <v>45843</v>
      </c>
      <c r="L6" s="5"/>
      <c r="M6" s="4">
        <f>IF(K6="",IF(WEEKDAY($A$1,1)=MOD(startday+5,7)+1,$A$1,""),K6+1)</f>
        <v>45844</v>
      </c>
      <c r="N6" s="5"/>
    </row>
    <row r="7" spans="1:14" ht="18" customHeight="1">
      <c r="A7" s="26" t="s">
        <v>199</v>
      </c>
      <c r="B7" s="22"/>
      <c r="C7" s="26" t="s">
        <v>199</v>
      </c>
      <c r="D7" s="22"/>
      <c r="E7" s="26" t="s">
        <v>199</v>
      </c>
      <c r="F7" s="22"/>
      <c r="G7" s="26" t="s">
        <v>199</v>
      </c>
      <c r="H7" s="22"/>
      <c r="I7" s="26" t="s">
        <v>199</v>
      </c>
      <c r="J7" s="22"/>
      <c r="K7" s="26" t="s">
        <v>199</v>
      </c>
      <c r="L7" s="22"/>
      <c r="M7" s="26" t="s">
        <v>199</v>
      </c>
      <c r="N7" s="22"/>
    </row>
    <row r="8" spans="1:14" ht="18" customHeight="1">
      <c r="A8" s="25" t="s">
        <v>186</v>
      </c>
      <c r="B8" s="22"/>
      <c r="C8" s="25" t="s">
        <v>186</v>
      </c>
      <c r="D8" s="22"/>
      <c r="E8" s="25" t="s">
        <v>186</v>
      </c>
      <c r="F8" s="22"/>
      <c r="G8" s="25" t="s">
        <v>186</v>
      </c>
      <c r="H8" s="22"/>
      <c r="I8" s="25"/>
      <c r="J8" s="22"/>
      <c r="K8" s="25"/>
      <c r="L8" s="22"/>
      <c r="M8" s="25"/>
      <c r="N8" s="22"/>
    </row>
    <row r="9" spans="1:14" ht="18" customHeight="1">
      <c r="A9" s="56" t="s">
        <v>200</v>
      </c>
      <c r="B9" s="22"/>
      <c r="C9" s="33" t="s">
        <v>200</v>
      </c>
      <c r="D9" s="22"/>
      <c r="E9" s="23" t="s">
        <v>200</v>
      </c>
      <c r="F9" s="22"/>
      <c r="G9" s="23" t="s">
        <v>200</v>
      </c>
      <c r="H9" s="22"/>
      <c r="I9" s="23" t="s">
        <v>200</v>
      </c>
      <c r="J9" s="22"/>
      <c r="K9" s="23" t="s">
        <v>200</v>
      </c>
      <c r="L9" s="22"/>
      <c r="M9" s="23" t="s">
        <v>200</v>
      </c>
      <c r="N9" s="22"/>
    </row>
    <row r="10" spans="1:14" ht="18" customHeight="1">
      <c r="A10" s="21" t="s">
        <v>196</v>
      </c>
      <c r="B10" s="22"/>
      <c r="C10" s="27" t="s">
        <v>196</v>
      </c>
      <c r="D10" s="22"/>
      <c r="E10" s="21" t="s">
        <v>196</v>
      </c>
      <c r="F10" s="22"/>
      <c r="G10" s="21" t="s">
        <v>196</v>
      </c>
      <c r="H10" s="22"/>
      <c r="I10" s="21"/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195</v>
      </c>
      <c r="B13" s="22"/>
      <c r="C13" s="30" t="s">
        <v>195</v>
      </c>
      <c r="D13" s="22"/>
      <c r="E13" s="30" t="s">
        <v>195</v>
      </c>
      <c r="F13" s="22"/>
      <c r="G13" s="30" t="s">
        <v>195</v>
      </c>
      <c r="H13" s="22"/>
      <c r="I13" s="30" t="s">
        <v>195</v>
      </c>
      <c r="J13" s="22"/>
      <c r="K13" s="30" t="s">
        <v>195</v>
      </c>
      <c r="L13" s="22"/>
      <c r="M13" s="30" t="s">
        <v>195</v>
      </c>
      <c r="N13" s="22"/>
    </row>
    <row r="14" spans="1:14" ht="18" customHeight="1">
      <c r="A14" s="61" t="s">
        <v>185</v>
      </c>
      <c r="B14" s="31"/>
      <c r="C14" s="61" t="s">
        <v>183</v>
      </c>
      <c r="D14" s="31"/>
      <c r="E14" s="61" t="s">
        <v>185</v>
      </c>
      <c r="F14" s="31"/>
      <c r="G14" s="61" t="s">
        <v>201</v>
      </c>
      <c r="H14" s="31"/>
      <c r="I14" s="61" t="s">
        <v>183</v>
      </c>
      <c r="J14" s="31"/>
      <c r="K14" s="61" t="s">
        <v>183</v>
      </c>
      <c r="L14" s="31"/>
      <c r="M14" s="61" t="s">
        <v>202</v>
      </c>
      <c r="N14" s="31"/>
    </row>
    <row r="15" spans="1:14" ht="18" customHeight="1">
      <c r="A15" s="2">
        <f>M6+1</f>
        <v>45845</v>
      </c>
      <c r="B15" s="3"/>
      <c r="C15" s="2">
        <f>A15+1</f>
        <v>45846</v>
      </c>
      <c r="D15" s="3"/>
      <c r="E15" s="2">
        <f>C15+1</f>
        <v>45847</v>
      </c>
      <c r="F15" s="3"/>
      <c r="G15" s="2">
        <f>E15+1</f>
        <v>45848</v>
      </c>
      <c r="H15" s="3"/>
      <c r="I15" s="2">
        <f>G15+1</f>
        <v>45849</v>
      </c>
      <c r="J15" s="3"/>
      <c r="K15" s="4">
        <f>I15+1</f>
        <v>45850</v>
      </c>
      <c r="L15" s="5"/>
      <c r="M15" s="4">
        <f>K15+1</f>
        <v>45851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5" t="s">
        <v>187</v>
      </c>
      <c r="B17" s="43"/>
      <c r="C17" s="25" t="s">
        <v>187</v>
      </c>
      <c r="D17" s="43"/>
      <c r="E17" s="25" t="s">
        <v>187</v>
      </c>
      <c r="F17" s="43"/>
      <c r="G17" s="25" t="s">
        <v>187</v>
      </c>
      <c r="H17" s="43"/>
      <c r="I17" s="25" t="s">
        <v>187</v>
      </c>
      <c r="J17" s="43"/>
      <c r="K17" s="24"/>
      <c r="L17" s="22"/>
      <c r="M17" s="24"/>
      <c r="N17" s="22"/>
    </row>
    <row r="18" spans="1:14" ht="18" customHeight="1">
      <c r="A18" s="23" t="s">
        <v>181</v>
      </c>
      <c r="B18" s="22"/>
      <c r="C18" s="23" t="s">
        <v>181</v>
      </c>
      <c r="D18" s="22"/>
      <c r="E18" s="23" t="s">
        <v>181</v>
      </c>
      <c r="F18" s="22"/>
      <c r="G18" s="23" t="s">
        <v>181</v>
      </c>
      <c r="H18" s="22"/>
      <c r="I18" s="23" t="s">
        <v>181</v>
      </c>
      <c r="J18" s="22"/>
      <c r="K18" s="23" t="s">
        <v>181</v>
      </c>
      <c r="L18" s="22"/>
      <c r="M18" s="23" t="s">
        <v>181</v>
      </c>
      <c r="N18" s="22"/>
    </row>
    <row r="19" spans="1:14" ht="18" customHeight="1">
      <c r="A19" s="21" t="s">
        <v>196</v>
      </c>
      <c r="B19" s="22"/>
      <c r="C19" s="21" t="s">
        <v>196</v>
      </c>
      <c r="D19" s="22"/>
      <c r="E19" s="21" t="s">
        <v>196</v>
      </c>
      <c r="F19" s="22"/>
      <c r="G19" s="21" t="s">
        <v>196</v>
      </c>
      <c r="H19" s="22"/>
      <c r="I19" s="21" t="s">
        <v>196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186</v>
      </c>
      <c r="B22" s="22"/>
      <c r="C22" s="30" t="s">
        <v>186</v>
      </c>
      <c r="D22" s="22"/>
      <c r="E22" s="30" t="s">
        <v>186</v>
      </c>
      <c r="F22" s="22"/>
      <c r="G22" s="30" t="s">
        <v>186</v>
      </c>
      <c r="H22" s="22"/>
      <c r="I22" s="30" t="s">
        <v>186</v>
      </c>
      <c r="J22" s="22"/>
      <c r="K22" s="30" t="s">
        <v>186</v>
      </c>
      <c r="L22" s="22"/>
      <c r="M22" s="30" t="s">
        <v>186</v>
      </c>
      <c r="N22" s="22"/>
    </row>
    <row r="23" spans="1:14" ht="18" customHeight="1">
      <c r="A23" s="61" t="s">
        <v>203</v>
      </c>
      <c r="B23" s="31"/>
      <c r="C23" s="61" t="s">
        <v>201</v>
      </c>
      <c r="D23" s="31"/>
      <c r="E23" s="61" t="s">
        <v>183</v>
      </c>
      <c r="F23" s="31"/>
      <c r="G23" s="61" t="s">
        <v>204</v>
      </c>
      <c r="H23" s="31"/>
      <c r="I23" s="61" t="s">
        <v>205</v>
      </c>
      <c r="J23" s="31"/>
      <c r="K23" s="61" t="s">
        <v>205</v>
      </c>
      <c r="L23" s="31"/>
      <c r="M23" s="61" t="s">
        <v>183</v>
      </c>
      <c r="N23" s="31"/>
    </row>
    <row r="24" spans="1:14" ht="18" customHeight="1">
      <c r="A24" s="2">
        <f>M15+1</f>
        <v>45852</v>
      </c>
      <c r="B24" s="3"/>
      <c r="C24" s="2">
        <f>A24+1</f>
        <v>45853</v>
      </c>
      <c r="D24" s="3"/>
      <c r="E24" s="2">
        <f>C24+1</f>
        <v>45854</v>
      </c>
      <c r="F24" s="3"/>
      <c r="G24" s="2">
        <f>E24+1</f>
        <v>45855</v>
      </c>
      <c r="H24" s="3"/>
      <c r="I24" s="2">
        <f>G24+1</f>
        <v>45856</v>
      </c>
      <c r="J24" s="3"/>
      <c r="K24" s="4">
        <f>I24+1</f>
        <v>45857</v>
      </c>
      <c r="L24" s="5"/>
      <c r="M24" s="4">
        <f>K24+1</f>
        <v>45858</v>
      </c>
      <c r="N24" s="5"/>
    </row>
    <row r="25" spans="1:14" ht="25.5" customHeight="1">
      <c r="A25" s="55" t="s">
        <v>206</v>
      </c>
      <c r="B25" s="22"/>
      <c r="C25" s="26" t="s">
        <v>207</v>
      </c>
      <c r="D25" s="22"/>
      <c r="E25" s="55" t="s">
        <v>206</v>
      </c>
      <c r="F25" s="22"/>
      <c r="G25" s="26" t="s">
        <v>207</v>
      </c>
      <c r="H25" s="22"/>
      <c r="I25" s="26" t="s">
        <v>207</v>
      </c>
      <c r="J25" s="22"/>
      <c r="K25" s="26" t="s">
        <v>207</v>
      </c>
      <c r="L25" s="22"/>
      <c r="M25" s="26" t="s">
        <v>207</v>
      </c>
      <c r="N25" s="22"/>
    </row>
    <row r="26" spans="1:14" ht="18" customHeight="1">
      <c r="A26" s="25" t="s">
        <v>208</v>
      </c>
      <c r="B26" s="22"/>
      <c r="C26" s="20" t="s">
        <v>208</v>
      </c>
      <c r="D26" s="19"/>
      <c r="E26" s="25" t="s">
        <v>208</v>
      </c>
      <c r="F26" s="22"/>
      <c r="G26" s="25" t="s">
        <v>208</v>
      </c>
      <c r="H26" s="22"/>
      <c r="I26" s="25" t="s">
        <v>208</v>
      </c>
      <c r="J26" s="22"/>
      <c r="K26" s="24"/>
      <c r="L26" s="22"/>
      <c r="M26" s="24"/>
      <c r="N26" s="22"/>
    </row>
    <row r="27" spans="1:14" ht="18" customHeight="1">
      <c r="A27" s="23" t="s">
        <v>209</v>
      </c>
      <c r="B27" s="22"/>
      <c r="C27" s="23" t="s">
        <v>209</v>
      </c>
      <c r="D27" s="22"/>
      <c r="E27" s="23" t="s">
        <v>209</v>
      </c>
      <c r="F27" s="22"/>
      <c r="G27" s="23" t="s">
        <v>209</v>
      </c>
      <c r="H27" s="22"/>
      <c r="I27" s="23" t="s">
        <v>209</v>
      </c>
      <c r="J27" s="22"/>
      <c r="K27" s="23" t="s">
        <v>209</v>
      </c>
      <c r="L27" s="22"/>
      <c r="M27" s="23" t="s">
        <v>209</v>
      </c>
      <c r="N27" s="22"/>
    </row>
    <row r="28" spans="1:14" ht="18" customHeight="1">
      <c r="A28" s="21" t="s">
        <v>178</v>
      </c>
      <c r="B28" s="22"/>
      <c r="C28" s="21" t="s">
        <v>178</v>
      </c>
      <c r="D28" s="22"/>
      <c r="E28" s="21" t="s">
        <v>178</v>
      </c>
      <c r="F28" s="22"/>
      <c r="G28" s="21" t="s">
        <v>178</v>
      </c>
      <c r="H28" s="22"/>
      <c r="I28" s="21" t="s">
        <v>178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192</v>
      </c>
      <c r="B31" s="22"/>
      <c r="C31" s="30" t="s">
        <v>192</v>
      </c>
      <c r="D31" s="22"/>
      <c r="E31" s="30" t="s">
        <v>192</v>
      </c>
      <c r="F31" s="22"/>
      <c r="G31" s="30" t="s">
        <v>192</v>
      </c>
      <c r="H31" s="22"/>
      <c r="I31" s="30" t="s">
        <v>192</v>
      </c>
      <c r="J31" s="22"/>
      <c r="K31" s="30" t="s">
        <v>192</v>
      </c>
      <c r="L31" s="22"/>
      <c r="M31" s="30" t="s">
        <v>192</v>
      </c>
      <c r="N31" s="22"/>
    </row>
    <row r="32" spans="1:14" ht="18" customHeight="1">
      <c r="A32" s="61" t="s">
        <v>202</v>
      </c>
      <c r="B32" s="31"/>
      <c r="C32" s="61" t="s">
        <v>185</v>
      </c>
      <c r="D32" s="31"/>
      <c r="E32" s="61" t="s">
        <v>201</v>
      </c>
      <c r="F32" s="31"/>
      <c r="G32" s="61" t="s">
        <v>204</v>
      </c>
      <c r="H32" s="31"/>
      <c r="I32" s="61" t="s">
        <v>210</v>
      </c>
      <c r="J32" s="31"/>
      <c r="K32" s="61" t="s">
        <v>210</v>
      </c>
      <c r="L32" s="31"/>
      <c r="M32" s="61" t="s">
        <v>211</v>
      </c>
      <c r="N32" s="31"/>
    </row>
    <row r="33" spans="1:14" ht="18" customHeight="1">
      <c r="A33" s="2">
        <f>M24+1</f>
        <v>45859</v>
      </c>
      <c r="B33" s="3"/>
      <c r="C33" s="2">
        <f>A33+1</f>
        <v>45860</v>
      </c>
      <c r="D33" s="3"/>
      <c r="E33" s="2">
        <f>C33+1</f>
        <v>45861</v>
      </c>
      <c r="F33" s="3"/>
      <c r="G33" s="2">
        <f>E33+1</f>
        <v>45862</v>
      </c>
      <c r="H33" s="3"/>
      <c r="I33" s="2">
        <f>G33+1</f>
        <v>45863</v>
      </c>
      <c r="J33" s="3"/>
      <c r="K33" s="4">
        <f>I33+1</f>
        <v>45864</v>
      </c>
      <c r="L33" s="5"/>
      <c r="M33" s="4">
        <f>K33+1</f>
        <v>45865</v>
      </c>
      <c r="N33" s="5"/>
    </row>
    <row r="34" spans="1:14" ht="18" customHeight="1">
      <c r="A34" s="26" t="s">
        <v>186</v>
      </c>
      <c r="B34" s="22"/>
      <c r="C34" s="26" t="s">
        <v>186</v>
      </c>
      <c r="D34" s="22"/>
      <c r="E34" s="26" t="s">
        <v>186</v>
      </c>
      <c r="F34" s="22"/>
      <c r="G34" s="26" t="s">
        <v>186</v>
      </c>
      <c r="H34" s="22"/>
      <c r="I34" s="26" t="s">
        <v>186</v>
      </c>
      <c r="J34" s="22"/>
      <c r="K34" s="26" t="s">
        <v>186</v>
      </c>
      <c r="L34" s="22"/>
      <c r="M34" s="26" t="s">
        <v>186</v>
      </c>
      <c r="N34" s="22"/>
    </row>
    <row r="35" spans="1:14" ht="18" customHeight="1">
      <c r="A35" s="25" t="s">
        <v>192</v>
      </c>
      <c r="B35" s="22"/>
      <c r="C35" s="25" t="s">
        <v>192</v>
      </c>
      <c r="D35" s="22"/>
      <c r="E35" s="25" t="s">
        <v>192</v>
      </c>
      <c r="F35" s="22"/>
      <c r="G35" s="25" t="s">
        <v>192</v>
      </c>
      <c r="H35" s="22"/>
      <c r="I35" s="25" t="s">
        <v>192</v>
      </c>
      <c r="J35" s="22"/>
      <c r="K35" s="24"/>
      <c r="L35" s="22"/>
      <c r="M35" s="24"/>
      <c r="N35" s="22"/>
    </row>
    <row r="36" spans="1:14" ht="18" customHeight="1">
      <c r="A36" s="23" t="s">
        <v>177</v>
      </c>
      <c r="B36" s="22"/>
      <c r="C36" s="23" t="s">
        <v>177</v>
      </c>
      <c r="D36" s="22"/>
      <c r="E36" s="23" t="s">
        <v>177</v>
      </c>
      <c r="F36" s="22"/>
      <c r="G36" s="23" t="s">
        <v>177</v>
      </c>
      <c r="H36" s="22"/>
      <c r="I36" s="23" t="s">
        <v>177</v>
      </c>
      <c r="J36" s="22"/>
      <c r="K36" s="23" t="s">
        <v>177</v>
      </c>
      <c r="L36" s="22"/>
      <c r="M36" s="23" t="s">
        <v>177</v>
      </c>
      <c r="N36" s="22"/>
    </row>
    <row r="37" spans="1:14" ht="18" customHeight="1">
      <c r="A37" s="21" t="s">
        <v>196</v>
      </c>
      <c r="B37" s="22"/>
      <c r="C37" s="21" t="s">
        <v>196</v>
      </c>
      <c r="D37" s="22"/>
      <c r="E37" s="21" t="s">
        <v>196</v>
      </c>
      <c r="F37" s="22"/>
      <c r="G37" s="21" t="s">
        <v>196</v>
      </c>
      <c r="H37" s="22"/>
      <c r="I37" s="21" t="s">
        <v>196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43</v>
      </c>
      <c r="B40" s="22"/>
      <c r="C40" s="30" t="s">
        <v>43</v>
      </c>
      <c r="D40" s="22"/>
      <c r="E40" s="30" t="s">
        <v>43</v>
      </c>
      <c r="F40" s="22"/>
      <c r="G40" s="30" t="s">
        <v>43</v>
      </c>
      <c r="H40" s="22"/>
      <c r="I40" s="30" t="s">
        <v>43</v>
      </c>
      <c r="J40" s="22"/>
      <c r="K40" s="30" t="s">
        <v>43</v>
      </c>
      <c r="L40" s="22"/>
      <c r="M40" s="30" t="s">
        <v>43</v>
      </c>
      <c r="N40" s="22"/>
    </row>
    <row r="41" spans="1:14" ht="18" customHeight="1">
      <c r="A41" s="61" t="s">
        <v>185</v>
      </c>
      <c r="B41" s="31"/>
      <c r="C41" s="61" t="s">
        <v>203</v>
      </c>
      <c r="D41" s="31"/>
      <c r="E41" s="61" t="s">
        <v>202</v>
      </c>
      <c r="F41" s="31"/>
      <c r="G41" s="61" t="s">
        <v>183</v>
      </c>
      <c r="H41" s="31"/>
      <c r="I41" s="61" t="s">
        <v>212</v>
      </c>
      <c r="J41" s="31"/>
      <c r="K41" s="61" t="s">
        <v>212</v>
      </c>
      <c r="L41" s="31"/>
      <c r="M41" s="61" t="s">
        <v>203</v>
      </c>
      <c r="N41" s="31"/>
    </row>
    <row r="42" spans="1:14" ht="18" customHeight="1">
      <c r="A42" s="2">
        <f>IF(M33="","",IF(MONTH(M33+1)&lt;&gt;MONTH($A$1),"",M33+1))</f>
        <v>45866</v>
      </c>
      <c r="B42" s="3"/>
      <c r="C42" s="2">
        <f>IF(A42="","",IF(MONTH(A42+1)&lt;&gt;MONTH($A$1),"",A42+1))</f>
        <v>45867</v>
      </c>
      <c r="D42" s="3"/>
      <c r="E42" s="2">
        <f>IF(C42="","",IF(MONTH(C42+1)&lt;&gt;MONTH($A$1),"",C42+1))</f>
        <v>45868</v>
      </c>
      <c r="F42" s="3"/>
      <c r="G42" s="2">
        <v>31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6" t="s">
        <v>176</v>
      </c>
      <c r="B43" s="22"/>
      <c r="C43" s="26" t="s">
        <v>176</v>
      </c>
      <c r="D43" s="22"/>
      <c r="E43" s="26" t="s">
        <v>176</v>
      </c>
      <c r="F43" s="22"/>
      <c r="G43" s="26" t="s">
        <v>176</v>
      </c>
      <c r="H43" s="22"/>
      <c r="I43" s="26" t="s">
        <v>176</v>
      </c>
      <c r="J43" s="22"/>
      <c r="K43" s="26" t="s">
        <v>176</v>
      </c>
      <c r="L43" s="22"/>
      <c r="M43" s="26" t="s">
        <v>176</v>
      </c>
      <c r="N43" s="22"/>
    </row>
    <row r="44" spans="1:14" ht="18" customHeight="1">
      <c r="A44" s="25" t="s">
        <v>207</v>
      </c>
      <c r="B44" s="22"/>
      <c r="C44" s="25" t="s">
        <v>207</v>
      </c>
      <c r="D44" s="22"/>
      <c r="E44" s="25" t="s">
        <v>207</v>
      </c>
      <c r="F44" s="22"/>
      <c r="G44" s="25" t="s">
        <v>207</v>
      </c>
      <c r="H44" s="22"/>
      <c r="I44" s="25" t="s">
        <v>207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21" t="s">
        <v>188</v>
      </c>
      <c r="B46" s="22"/>
      <c r="C46" s="21" t="s">
        <v>188</v>
      </c>
      <c r="D46" s="22"/>
      <c r="E46" s="21" t="s">
        <v>188</v>
      </c>
      <c r="F46" s="22"/>
      <c r="G46" s="21" t="s">
        <v>188</v>
      </c>
      <c r="H46" s="22"/>
      <c r="I46" s="21" t="s">
        <v>188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176</v>
      </c>
      <c r="B49" s="22"/>
      <c r="C49" s="30" t="s">
        <v>176</v>
      </c>
      <c r="D49" s="22"/>
      <c r="E49" s="30" t="s">
        <v>176</v>
      </c>
      <c r="F49" s="22"/>
      <c r="G49" s="30" t="s">
        <v>176</v>
      </c>
      <c r="H49" s="22"/>
      <c r="I49" s="30" t="s">
        <v>176</v>
      </c>
      <c r="J49" s="22"/>
      <c r="K49" s="30" t="s">
        <v>176</v>
      </c>
      <c r="L49" s="22"/>
      <c r="M49" s="30" t="s">
        <v>176</v>
      </c>
      <c r="N49" s="22"/>
    </row>
    <row r="50" spans="1:14" ht="18" customHeight="1">
      <c r="A50" s="61" t="s">
        <v>183</v>
      </c>
      <c r="B50" s="31"/>
      <c r="C50" s="61" t="s">
        <v>201</v>
      </c>
      <c r="D50" s="31"/>
      <c r="E50" s="61" t="s">
        <v>202</v>
      </c>
      <c r="F50" s="31"/>
      <c r="G50" s="61" t="s">
        <v>185</v>
      </c>
      <c r="H50" s="31"/>
      <c r="I50" s="61" t="s">
        <v>213</v>
      </c>
      <c r="J50" s="31"/>
      <c r="K50" s="61" t="s">
        <v>213</v>
      </c>
      <c r="L50" s="31"/>
      <c r="M50" s="61" t="s">
        <v>202</v>
      </c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8"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3:B43"/>
    <mergeCell ref="C43:D43"/>
    <mergeCell ref="E43:F43"/>
    <mergeCell ref="G43:H43"/>
    <mergeCell ref="I43:J43"/>
    <mergeCell ref="K43:L43"/>
    <mergeCell ref="M43:N43"/>
    <mergeCell ref="A41:B41"/>
    <mergeCell ref="C41:D41"/>
    <mergeCell ref="E41:F41"/>
    <mergeCell ref="G41:H41"/>
    <mergeCell ref="I41:J4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A31:B31"/>
    <mergeCell ref="C31:D31"/>
    <mergeCell ref="M31:N31"/>
    <mergeCell ref="C34:D34"/>
    <mergeCell ref="E34:F34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I25:J25"/>
    <mergeCell ref="K25:L25"/>
    <mergeCell ref="M25:N25"/>
    <mergeCell ref="A28:B28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E30:F30"/>
    <mergeCell ref="E28:F28"/>
    <mergeCell ref="G28:H28"/>
    <mergeCell ref="I28:J28"/>
    <mergeCell ref="K28:L28"/>
    <mergeCell ref="M28:N28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M30:N30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M9:N9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49:D49"/>
    <mergeCell ref="E49:F49"/>
    <mergeCell ref="G49:H49"/>
    <mergeCell ref="I49:J49"/>
    <mergeCell ref="A14:B14"/>
    <mergeCell ref="C14:D14"/>
    <mergeCell ref="E14:F14"/>
    <mergeCell ref="G14:H14"/>
    <mergeCell ref="I14:J14"/>
    <mergeCell ref="K14:L14"/>
    <mergeCell ref="M14:N14"/>
    <mergeCell ref="C39:D39"/>
    <mergeCell ref="E39:F39"/>
    <mergeCell ref="G39:H39"/>
    <mergeCell ref="I39:J39"/>
    <mergeCell ref="K39:L39"/>
    <mergeCell ref="M39:N39"/>
    <mergeCell ref="A26:B26"/>
    <mergeCell ref="E26:F26"/>
    <mergeCell ref="G26:H26"/>
    <mergeCell ref="I26:J26"/>
    <mergeCell ref="K26:L26"/>
    <mergeCell ref="M26:N26"/>
    <mergeCell ref="A25:B25"/>
    <mergeCell ref="C25:D25"/>
    <mergeCell ref="E25:F25"/>
    <mergeCell ref="G25:H25"/>
    <mergeCell ref="C28:D28"/>
    <mergeCell ref="A13:B13"/>
    <mergeCell ref="C13:D13"/>
    <mergeCell ref="E13:F13"/>
    <mergeCell ref="G13:H13"/>
    <mergeCell ref="I13:J13"/>
    <mergeCell ref="K13:L13"/>
    <mergeCell ref="M13:N1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workbookViewId="0">
      <selection activeCell="J24" sqref="J2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EDATE('©'!A17,37)</f>
        <v>45870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AUGUST 2025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45873</v>
      </c>
      <c r="B5" s="51"/>
      <c r="C5" s="50">
        <f>C15</f>
        <v>45874</v>
      </c>
      <c r="D5" s="51"/>
      <c r="E5" s="50">
        <f>E15</f>
        <v>45875</v>
      </c>
      <c r="F5" s="51"/>
      <c r="G5" s="50">
        <f>G15</f>
        <v>45876</v>
      </c>
      <c r="H5" s="51"/>
      <c r="I5" s="50">
        <f>I15</f>
        <v>45877</v>
      </c>
      <c r="J5" s="51"/>
      <c r="K5" s="50">
        <f>K15</f>
        <v>45878</v>
      </c>
      <c r="L5" s="51"/>
      <c r="M5" s="50">
        <f>M15</f>
        <v>45879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45870</v>
      </c>
      <c r="J6" s="3"/>
      <c r="K6" s="4">
        <f>IF(I6="",IF(WEEKDAY($A$1,1)=MOD(startday,7)+5,$A$1,""),I6+1)</f>
        <v>45871</v>
      </c>
      <c r="L6" s="5"/>
      <c r="M6" s="4">
        <f>IF(K6="",IF(WEEKDAY($A$1,1)=MOD(startday+5,7)+1,$A$1,""),K6+1)</f>
        <v>45872</v>
      </c>
      <c r="N6" s="5"/>
    </row>
    <row r="7" spans="1:14" ht="18" customHeight="1">
      <c r="A7" s="26" t="s">
        <v>176</v>
      </c>
      <c r="B7" s="22"/>
      <c r="C7" s="26" t="s">
        <v>176</v>
      </c>
      <c r="D7" s="22"/>
      <c r="E7" s="26" t="s">
        <v>176</v>
      </c>
      <c r="F7" s="22"/>
      <c r="G7" s="26" t="s">
        <v>176</v>
      </c>
      <c r="H7" s="22"/>
      <c r="I7" s="26" t="s">
        <v>176</v>
      </c>
      <c r="J7" s="22"/>
      <c r="K7" s="26" t="s">
        <v>176</v>
      </c>
      <c r="L7" s="22"/>
      <c r="M7" s="26" t="s">
        <v>176</v>
      </c>
      <c r="N7" s="22"/>
    </row>
    <row r="8" spans="1:14" ht="18" customHeight="1">
      <c r="A8" s="25" t="s">
        <v>207</v>
      </c>
      <c r="B8" s="22"/>
      <c r="C8" s="25" t="s">
        <v>207</v>
      </c>
      <c r="D8" s="22"/>
      <c r="E8" s="25" t="s">
        <v>207</v>
      </c>
      <c r="F8" s="22"/>
      <c r="G8" s="25" t="s">
        <v>207</v>
      </c>
      <c r="H8" s="22"/>
      <c r="I8" s="25" t="s">
        <v>207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21" t="s">
        <v>196</v>
      </c>
      <c r="B10" s="22"/>
      <c r="C10" s="21" t="s">
        <v>196</v>
      </c>
      <c r="D10" s="22"/>
      <c r="E10" s="21" t="s">
        <v>196</v>
      </c>
      <c r="F10" s="22"/>
      <c r="G10" s="21" t="s">
        <v>196</v>
      </c>
      <c r="H10" s="22"/>
      <c r="I10" s="21" t="s">
        <v>196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191</v>
      </c>
      <c r="B13" s="22"/>
      <c r="C13" s="30" t="s">
        <v>191</v>
      </c>
      <c r="D13" s="22"/>
      <c r="E13" s="30" t="s">
        <v>191</v>
      </c>
      <c r="F13" s="22"/>
      <c r="G13" s="30" t="s">
        <v>191</v>
      </c>
      <c r="H13" s="22"/>
      <c r="I13" s="30" t="s">
        <v>191</v>
      </c>
      <c r="J13" s="22"/>
      <c r="K13" s="30" t="s">
        <v>191</v>
      </c>
      <c r="L13" s="22"/>
      <c r="M13" s="30" t="s">
        <v>191</v>
      </c>
      <c r="N13" s="22"/>
    </row>
    <row r="14" spans="1:14" ht="18" customHeight="1">
      <c r="A14" s="61"/>
      <c r="B14" s="31"/>
      <c r="C14" s="61"/>
      <c r="D14" s="31"/>
      <c r="E14" s="61"/>
      <c r="F14" s="31"/>
      <c r="G14" s="61"/>
      <c r="H14" s="31"/>
      <c r="I14" s="61" t="s">
        <v>213</v>
      </c>
      <c r="J14" s="31"/>
      <c r="K14" s="61" t="s">
        <v>213</v>
      </c>
      <c r="L14" s="31"/>
      <c r="M14" s="61" t="s">
        <v>202</v>
      </c>
      <c r="N14" s="31"/>
    </row>
    <row r="15" spans="1:14" ht="18" customHeight="1">
      <c r="A15" s="2">
        <f>M6+1</f>
        <v>45873</v>
      </c>
      <c r="B15" s="3"/>
      <c r="C15" s="2">
        <f>A15+1</f>
        <v>45874</v>
      </c>
      <c r="D15" s="3"/>
      <c r="E15" s="2">
        <f>C15+1</f>
        <v>45875</v>
      </c>
      <c r="F15" s="3"/>
      <c r="G15" s="2">
        <f>E15+1</f>
        <v>45876</v>
      </c>
      <c r="H15" s="3"/>
      <c r="I15" s="2">
        <f>G15+1</f>
        <v>45877</v>
      </c>
      <c r="J15" s="3"/>
      <c r="K15" s="4">
        <f>I15+1</f>
        <v>45878</v>
      </c>
      <c r="L15" s="5"/>
      <c r="M15" s="4">
        <f>K15+1</f>
        <v>45879</v>
      </c>
      <c r="N15" s="5"/>
    </row>
    <row r="16" spans="1:14" ht="18" customHeight="1">
      <c r="A16" s="26" t="s">
        <v>208</v>
      </c>
      <c r="B16" s="22"/>
      <c r="C16" s="26" t="s">
        <v>208</v>
      </c>
      <c r="D16" s="22"/>
      <c r="E16" s="26" t="s">
        <v>208</v>
      </c>
      <c r="F16" s="22"/>
      <c r="G16" s="26" t="s">
        <v>208</v>
      </c>
      <c r="H16" s="22"/>
      <c r="I16" s="26" t="s">
        <v>208</v>
      </c>
      <c r="J16" s="22"/>
      <c r="K16" s="26" t="s">
        <v>208</v>
      </c>
      <c r="L16" s="22"/>
      <c r="M16" s="26" t="s">
        <v>208</v>
      </c>
      <c r="N16" s="22"/>
    </row>
    <row r="17" spans="1:14" ht="18" customHeight="1">
      <c r="A17" s="25" t="s">
        <v>174</v>
      </c>
      <c r="B17" s="22"/>
      <c r="C17" s="25" t="s">
        <v>174</v>
      </c>
      <c r="D17" s="22"/>
      <c r="E17" s="25" t="s">
        <v>174</v>
      </c>
      <c r="F17" s="22"/>
      <c r="G17" s="25" t="s">
        <v>174</v>
      </c>
      <c r="H17" s="22"/>
      <c r="I17" s="25" t="s">
        <v>174</v>
      </c>
      <c r="J17" s="22"/>
      <c r="K17" s="25"/>
      <c r="L17" s="22"/>
      <c r="M17" s="25"/>
      <c r="N17" s="22"/>
    </row>
    <row r="18" spans="1:14" ht="18" customHeight="1">
      <c r="A18" s="23" t="s">
        <v>188</v>
      </c>
      <c r="B18" s="22"/>
      <c r="C18" s="23" t="s">
        <v>188</v>
      </c>
      <c r="D18" s="22"/>
      <c r="E18" s="23" t="s">
        <v>188</v>
      </c>
      <c r="F18" s="22"/>
      <c r="G18" s="23" t="s">
        <v>188</v>
      </c>
      <c r="H18" s="22"/>
      <c r="I18" s="23" t="s">
        <v>188</v>
      </c>
      <c r="J18" s="22"/>
      <c r="K18" s="23" t="s">
        <v>188</v>
      </c>
      <c r="L18" s="22"/>
      <c r="M18" s="23" t="s">
        <v>188</v>
      </c>
      <c r="N18" s="22"/>
    </row>
    <row r="19" spans="1:14" ht="18" customHeight="1">
      <c r="A19" s="21" t="s">
        <v>200</v>
      </c>
      <c r="B19" s="22"/>
      <c r="C19" s="21" t="s">
        <v>200</v>
      </c>
      <c r="D19" s="22"/>
      <c r="E19" s="21" t="s">
        <v>200</v>
      </c>
      <c r="F19" s="22"/>
      <c r="G19" s="21" t="s">
        <v>200</v>
      </c>
      <c r="H19" s="22"/>
      <c r="I19" s="21" t="s">
        <v>200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187</v>
      </c>
      <c r="B22" s="22"/>
      <c r="C22" s="30" t="s">
        <v>187</v>
      </c>
      <c r="D22" s="22"/>
      <c r="E22" s="30" t="s">
        <v>187</v>
      </c>
      <c r="F22" s="22"/>
      <c r="G22" s="30" t="s">
        <v>187</v>
      </c>
      <c r="H22" s="22"/>
      <c r="I22" s="30" t="s">
        <v>187</v>
      </c>
      <c r="J22" s="22"/>
      <c r="K22" s="30" t="s">
        <v>187</v>
      </c>
      <c r="L22" s="22"/>
      <c r="M22" s="30" t="s">
        <v>187</v>
      </c>
      <c r="N22" s="22"/>
    </row>
    <row r="23" spans="1:14" ht="18" customHeight="1">
      <c r="A23" s="61" t="s">
        <v>185</v>
      </c>
      <c r="B23" s="31"/>
      <c r="C23" s="61" t="s">
        <v>203</v>
      </c>
      <c r="D23" s="31"/>
      <c r="E23" s="61" t="s">
        <v>183</v>
      </c>
      <c r="F23" s="31"/>
      <c r="G23" s="61" t="s">
        <v>204</v>
      </c>
      <c r="H23" s="31"/>
      <c r="I23" s="61" t="s">
        <v>202</v>
      </c>
      <c r="J23" s="31"/>
      <c r="K23" s="61" t="s">
        <v>202</v>
      </c>
      <c r="L23" s="31"/>
      <c r="M23" s="61" t="s">
        <v>201</v>
      </c>
      <c r="N23" s="31"/>
    </row>
    <row r="24" spans="1:14" ht="18" customHeight="1">
      <c r="A24" s="2">
        <f>M15+1</f>
        <v>45880</v>
      </c>
      <c r="B24" s="3"/>
      <c r="C24" s="2">
        <f>A24+1</f>
        <v>45881</v>
      </c>
      <c r="D24" s="3"/>
      <c r="E24" s="2">
        <f>C24+1</f>
        <v>45882</v>
      </c>
      <c r="F24" s="3"/>
      <c r="G24" s="2">
        <f>E24+1</f>
        <v>45883</v>
      </c>
      <c r="H24" s="3"/>
      <c r="I24" s="2">
        <f>G24+1</f>
        <v>45884</v>
      </c>
      <c r="J24" s="3"/>
      <c r="K24" s="4">
        <f>I24+1</f>
        <v>45885</v>
      </c>
      <c r="L24" s="5"/>
      <c r="M24" s="4">
        <f>K24+1</f>
        <v>45886</v>
      </c>
      <c r="N24" s="5"/>
    </row>
    <row r="25" spans="1:14" ht="18" customHeight="1">
      <c r="A25" s="26" t="s">
        <v>195</v>
      </c>
      <c r="B25" s="22"/>
      <c r="C25" s="26" t="s">
        <v>195</v>
      </c>
      <c r="D25" s="22"/>
      <c r="E25" s="26" t="s">
        <v>195</v>
      </c>
      <c r="F25" s="22"/>
      <c r="G25" s="26" t="s">
        <v>195</v>
      </c>
      <c r="H25" s="22"/>
      <c r="I25" s="26" t="s">
        <v>195</v>
      </c>
      <c r="J25" s="22"/>
      <c r="K25" s="26" t="s">
        <v>195</v>
      </c>
      <c r="L25" s="22"/>
      <c r="M25" s="26" t="s">
        <v>195</v>
      </c>
      <c r="N25" s="22"/>
    </row>
    <row r="26" spans="1:14" ht="18" customHeight="1">
      <c r="A26" s="25" t="s">
        <v>199</v>
      </c>
      <c r="B26" s="22"/>
      <c r="C26" s="25" t="s">
        <v>199</v>
      </c>
      <c r="D26" s="22"/>
      <c r="E26" s="25" t="s">
        <v>199</v>
      </c>
      <c r="F26" s="22"/>
      <c r="G26" s="25" t="s">
        <v>199</v>
      </c>
      <c r="H26" s="22"/>
      <c r="I26" s="25" t="s">
        <v>199</v>
      </c>
      <c r="J26" s="22"/>
      <c r="K26" s="24"/>
      <c r="L26" s="22"/>
      <c r="M26" s="24"/>
      <c r="N26" s="22"/>
    </row>
    <row r="27" spans="1:14" ht="18" customHeight="1">
      <c r="A27" s="23" t="s">
        <v>196</v>
      </c>
      <c r="B27" s="22"/>
      <c r="C27" s="23" t="s">
        <v>196</v>
      </c>
      <c r="D27" s="22"/>
      <c r="E27" s="23" t="s">
        <v>196</v>
      </c>
      <c r="F27" s="22"/>
      <c r="G27" s="23" t="s">
        <v>196</v>
      </c>
      <c r="H27" s="22"/>
      <c r="I27" s="23" t="s">
        <v>196</v>
      </c>
      <c r="J27" s="22"/>
      <c r="K27" s="23" t="s">
        <v>196</v>
      </c>
      <c r="L27" s="22"/>
      <c r="M27" s="23" t="s">
        <v>196</v>
      </c>
      <c r="N27" s="22"/>
    </row>
    <row r="28" spans="1:14" ht="18" customHeight="1">
      <c r="A28" s="21" t="s">
        <v>200</v>
      </c>
      <c r="B28" s="22"/>
      <c r="C28" s="21" t="s">
        <v>200</v>
      </c>
      <c r="D28" s="22"/>
      <c r="E28" s="21" t="s">
        <v>200</v>
      </c>
      <c r="F28" s="22"/>
      <c r="G28" s="21" t="s">
        <v>200</v>
      </c>
      <c r="H28" s="22"/>
      <c r="I28" s="21" t="s">
        <v>200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174</v>
      </c>
      <c r="B31" s="22"/>
      <c r="C31" s="30" t="s">
        <v>174</v>
      </c>
      <c r="D31" s="22"/>
      <c r="E31" s="30" t="s">
        <v>174</v>
      </c>
      <c r="F31" s="22"/>
      <c r="G31" s="30" t="s">
        <v>174</v>
      </c>
      <c r="H31" s="22"/>
      <c r="I31" s="30" t="s">
        <v>174</v>
      </c>
      <c r="J31" s="22"/>
      <c r="K31" s="30" t="s">
        <v>174</v>
      </c>
      <c r="L31" s="22"/>
      <c r="M31" s="30" t="s">
        <v>174</v>
      </c>
      <c r="N31" s="22"/>
    </row>
    <row r="32" spans="1:14" ht="18" customHeight="1">
      <c r="A32" s="61" t="s">
        <v>183</v>
      </c>
      <c r="B32" s="31"/>
      <c r="C32" s="61" t="s">
        <v>204</v>
      </c>
      <c r="D32" s="31"/>
      <c r="E32" s="61" t="s">
        <v>203</v>
      </c>
      <c r="F32" s="31"/>
      <c r="G32" s="61" t="s">
        <v>202</v>
      </c>
      <c r="H32" s="31"/>
      <c r="I32" s="61" t="s">
        <v>201</v>
      </c>
      <c r="J32" s="31"/>
      <c r="K32" s="61" t="s">
        <v>201</v>
      </c>
      <c r="L32" s="31"/>
      <c r="M32" s="61" t="s">
        <v>203</v>
      </c>
      <c r="N32" s="31"/>
    </row>
    <row r="33" spans="1:14" ht="18" customHeight="1">
      <c r="A33" s="2">
        <f>M24+1</f>
        <v>45887</v>
      </c>
      <c r="B33" s="3"/>
      <c r="C33" s="2">
        <f>A33+1</f>
        <v>45888</v>
      </c>
      <c r="D33" s="3"/>
      <c r="E33" s="2">
        <f>C33+1</f>
        <v>45889</v>
      </c>
      <c r="F33" s="3"/>
      <c r="G33" s="2">
        <f>E33+1</f>
        <v>45890</v>
      </c>
      <c r="H33" s="3"/>
      <c r="I33" s="2">
        <f>G33+1</f>
        <v>45891</v>
      </c>
      <c r="J33" s="3"/>
      <c r="K33" s="4">
        <f>I33+1</f>
        <v>45892</v>
      </c>
      <c r="L33" s="5"/>
      <c r="M33" s="4">
        <f>K33+1</f>
        <v>45893</v>
      </c>
      <c r="N33" s="5"/>
    </row>
    <row r="34" spans="1:14" ht="18" customHeight="1">
      <c r="A34" s="26" t="s">
        <v>191</v>
      </c>
      <c r="B34" s="22"/>
      <c r="C34" s="26" t="s">
        <v>191</v>
      </c>
      <c r="D34" s="22"/>
      <c r="E34" s="26" t="s">
        <v>191</v>
      </c>
      <c r="F34" s="22"/>
      <c r="G34" s="26" t="s">
        <v>191</v>
      </c>
      <c r="H34" s="22"/>
      <c r="I34" s="26" t="s">
        <v>191</v>
      </c>
      <c r="J34" s="22"/>
      <c r="K34" s="55" t="s">
        <v>190</v>
      </c>
      <c r="L34" s="22"/>
      <c r="M34" s="26" t="s">
        <v>190</v>
      </c>
      <c r="N34" s="22"/>
    </row>
    <row r="35" spans="1:14" ht="18" customHeight="1">
      <c r="A35" s="25" t="s">
        <v>192</v>
      </c>
      <c r="B35" s="22"/>
      <c r="C35" s="25" t="s">
        <v>192</v>
      </c>
      <c r="D35" s="22"/>
      <c r="E35" s="25" t="s">
        <v>192</v>
      </c>
      <c r="F35" s="22"/>
      <c r="G35" s="25" t="s">
        <v>192</v>
      </c>
      <c r="H35" s="22"/>
      <c r="I35" s="25" t="s">
        <v>192</v>
      </c>
      <c r="J35" s="22"/>
      <c r="K35" s="24"/>
      <c r="L35" s="22"/>
      <c r="M35" s="24"/>
      <c r="N35" s="22"/>
    </row>
    <row r="36" spans="1:14" ht="18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188</v>
      </c>
      <c r="J36" s="22"/>
      <c r="K36" s="23" t="s">
        <v>188</v>
      </c>
      <c r="L36" s="22"/>
      <c r="M36" s="23" t="s">
        <v>179</v>
      </c>
      <c r="N36" s="22"/>
    </row>
    <row r="37" spans="1:14" ht="18" customHeight="1">
      <c r="A37" s="21" t="s">
        <v>181</v>
      </c>
      <c r="B37" s="22"/>
      <c r="C37" s="21" t="s">
        <v>181</v>
      </c>
      <c r="D37" s="22"/>
      <c r="E37" s="21" t="s">
        <v>181</v>
      </c>
      <c r="F37" s="22"/>
      <c r="G37" s="21" t="s">
        <v>181</v>
      </c>
      <c r="H37" s="22"/>
      <c r="I37" s="21" t="s">
        <v>181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207</v>
      </c>
      <c r="B40" s="22"/>
      <c r="C40" s="30" t="s">
        <v>207</v>
      </c>
      <c r="D40" s="22"/>
      <c r="E40" s="30" t="s">
        <v>207</v>
      </c>
      <c r="F40" s="22"/>
      <c r="G40" s="30" t="s">
        <v>207</v>
      </c>
      <c r="H40" s="22"/>
      <c r="I40" s="30" t="s">
        <v>207</v>
      </c>
      <c r="J40" s="22"/>
      <c r="K40" s="30" t="s">
        <v>207</v>
      </c>
      <c r="L40" s="22"/>
      <c r="M40" s="30" t="s">
        <v>207</v>
      </c>
      <c r="N40" s="22"/>
    </row>
    <row r="41" spans="1:14" ht="18" customHeight="1">
      <c r="A41" s="61" t="s">
        <v>202</v>
      </c>
      <c r="B41" s="31"/>
      <c r="C41" s="61" t="s">
        <v>211</v>
      </c>
      <c r="D41" s="31"/>
      <c r="E41" s="61" t="s">
        <v>201</v>
      </c>
      <c r="F41" s="31"/>
      <c r="G41" s="61" t="s">
        <v>214</v>
      </c>
      <c r="H41" s="31"/>
      <c r="I41" s="61" t="s">
        <v>185</v>
      </c>
      <c r="J41" s="31"/>
      <c r="K41" s="61" t="s">
        <v>215</v>
      </c>
      <c r="L41" s="31"/>
      <c r="M41" s="61" t="s">
        <v>201</v>
      </c>
      <c r="N41" s="31"/>
    </row>
    <row r="42" spans="1:14" ht="18" customHeight="1">
      <c r="A42" s="2">
        <f>IF(M33="","",IF(MONTH(M33+1)&lt;&gt;MONTH($A$1),"",M33+1))</f>
        <v>45894</v>
      </c>
      <c r="B42" s="3"/>
      <c r="C42" s="2">
        <f>IF(A42="","",IF(MONTH(A42+1)&lt;&gt;MONTH($A$1),"",A42+1))</f>
        <v>45895</v>
      </c>
      <c r="D42" s="3"/>
      <c r="E42" s="2">
        <f>IF(C42="","",IF(MONTH(C42+1)&lt;&gt;MONTH($A$1),"",C42+1))</f>
        <v>45896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26" t="s">
        <v>208</v>
      </c>
      <c r="B43" s="22"/>
      <c r="C43" s="26" t="s">
        <v>208</v>
      </c>
      <c r="D43" s="22"/>
      <c r="E43" s="26" t="s">
        <v>208</v>
      </c>
      <c r="F43" s="22"/>
      <c r="G43" s="26" t="s">
        <v>208</v>
      </c>
      <c r="H43" s="22"/>
      <c r="I43" s="26" t="s">
        <v>208</v>
      </c>
      <c r="J43" s="22"/>
      <c r="K43" s="26" t="s">
        <v>208</v>
      </c>
      <c r="L43" s="22"/>
      <c r="M43" s="26" t="s">
        <v>208</v>
      </c>
      <c r="N43" s="22"/>
    </row>
    <row r="44" spans="1:14" ht="18" customHeight="1">
      <c r="A44" s="25" t="s">
        <v>187</v>
      </c>
      <c r="B44" s="22"/>
      <c r="C44" s="25" t="s">
        <v>187</v>
      </c>
      <c r="D44" s="22"/>
      <c r="E44" s="25" t="s">
        <v>187</v>
      </c>
      <c r="F44" s="22"/>
      <c r="G44" s="25" t="s">
        <v>187</v>
      </c>
      <c r="H44" s="22"/>
      <c r="I44" s="25" t="s">
        <v>187</v>
      </c>
      <c r="J44" s="22"/>
      <c r="K44" s="24"/>
      <c r="L44" s="22"/>
      <c r="M44" s="24"/>
      <c r="N44" s="22"/>
    </row>
    <row r="45" spans="1:14" ht="18" customHeight="1">
      <c r="A45" s="23" t="s">
        <v>177</v>
      </c>
      <c r="B45" s="22"/>
      <c r="C45" s="23" t="s">
        <v>177</v>
      </c>
      <c r="D45" s="22"/>
      <c r="E45" s="23" t="s">
        <v>177</v>
      </c>
      <c r="F45" s="22"/>
      <c r="G45" s="23" t="s">
        <v>177</v>
      </c>
      <c r="H45" s="22"/>
      <c r="I45" s="23" t="s">
        <v>177</v>
      </c>
      <c r="J45" s="22"/>
      <c r="K45" s="23" t="s">
        <v>177</v>
      </c>
      <c r="L45" s="22"/>
      <c r="M45" s="23" t="s">
        <v>177</v>
      </c>
      <c r="N45" s="22"/>
    </row>
    <row r="46" spans="1:14" ht="18" customHeight="1">
      <c r="A46" s="21" t="s">
        <v>200</v>
      </c>
      <c r="B46" s="22"/>
      <c r="C46" s="21" t="s">
        <v>200</v>
      </c>
      <c r="D46" s="22"/>
      <c r="E46" s="21" t="s">
        <v>200</v>
      </c>
      <c r="F46" s="22"/>
      <c r="G46" s="21" t="s">
        <v>200</v>
      </c>
      <c r="H46" s="22"/>
      <c r="I46" s="21" t="s">
        <v>200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190</v>
      </c>
      <c r="B49" s="22"/>
      <c r="C49" s="30" t="s">
        <v>190</v>
      </c>
      <c r="D49" s="22"/>
      <c r="E49" s="30" t="s">
        <v>190</v>
      </c>
      <c r="F49" s="22"/>
      <c r="G49" s="30" t="s">
        <v>190</v>
      </c>
      <c r="H49" s="22"/>
      <c r="I49" s="30" t="s">
        <v>190</v>
      </c>
      <c r="J49" s="22"/>
      <c r="K49" s="30" t="s">
        <v>190</v>
      </c>
      <c r="L49" s="22"/>
      <c r="M49" s="30" t="s">
        <v>190</v>
      </c>
      <c r="N49" s="22"/>
    </row>
    <row r="50" spans="1:14" ht="18" customHeight="1">
      <c r="A50" s="61" t="s">
        <v>214</v>
      </c>
      <c r="B50" s="31"/>
      <c r="C50" s="61" t="s">
        <v>185</v>
      </c>
      <c r="D50" s="31"/>
      <c r="E50" s="61" t="s">
        <v>204</v>
      </c>
      <c r="F50" s="31"/>
      <c r="G50" s="61" t="s">
        <v>214</v>
      </c>
      <c r="H50" s="31"/>
      <c r="I50" s="61" t="s">
        <v>203</v>
      </c>
      <c r="J50" s="31"/>
      <c r="K50" s="61" t="s">
        <v>203</v>
      </c>
      <c r="L50" s="31"/>
      <c r="M50" s="61" t="s">
        <v>201</v>
      </c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42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EDATE('©'!A17,38)</f>
        <v>45901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SEPTEMBER 2025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45908</v>
      </c>
      <c r="B5" s="51"/>
      <c r="C5" s="50">
        <f>C15</f>
        <v>45909</v>
      </c>
      <c r="D5" s="51"/>
      <c r="E5" s="50">
        <f>E15</f>
        <v>45910</v>
      </c>
      <c r="F5" s="51"/>
      <c r="G5" s="50">
        <f>G15</f>
        <v>45911</v>
      </c>
      <c r="H5" s="51"/>
      <c r="I5" s="50">
        <f>I15</f>
        <v>45912</v>
      </c>
      <c r="J5" s="51"/>
      <c r="K5" s="50">
        <f>K15</f>
        <v>45913</v>
      </c>
      <c r="L5" s="51"/>
      <c r="M5" s="50">
        <f>M15</f>
        <v>45914</v>
      </c>
      <c r="N5" s="51"/>
    </row>
    <row r="6" spans="1:14" ht="18" customHeight="1">
      <c r="A6" s="2">
        <f>IF(WEEKDAY($A$1,1)=startday,$A$1,"")</f>
        <v>45901</v>
      </c>
      <c r="B6" s="3" t="s">
        <v>216</v>
      </c>
      <c r="C6" s="2">
        <f>IF(A6="",IF(WEEKDAY($A$1,1)=MOD(startday,7)+1,$A$1,""),A6+1)</f>
        <v>45902</v>
      </c>
      <c r="D6" s="3"/>
      <c r="E6" s="2">
        <f>IF(C6="",IF(WEEKDAY($A$1,1)=MOD(startday,7)+2,$A$1,""),C6+1)</f>
        <v>45903</v>
      </c>
      <c r="F6" s="3"/>
      <c r="G6" s="2">
        <f>IF(E6="",IF(WEEKDAY($A$1,1)=MOD(startday,7)+3,$A$1,""),E6+1)</f>
        <v>45904</v>
      </c>
      <c r="H6" s="3"/>
      <c r="I6" s="2">
        <f>IF(G6="",IF(WEEKDAY($A$1,1)=MOD(startday,7)+4,$A$1,""),G6+1)</f>
        <v>45905</v>
      </c>
      <c r="J6" s="3"/>
      <c r="K6" s="4">
        <f>IF(I6="",IF(WEEKDAY($A$1,1)=MOD(startday,7)+5,$A$1,""),I6+1)</f>
        <v>45906</v>
      </c>
      <c r="L6" s="5"/>
      <c r="M6" s="4">
        <f>IF(K6="",IF(WEEKDAY($A$1,1)=MOD(startday+5,7)+1,$A$1,""),K6+1)</f>
        <v>45907</v>
      </c>
      <c r="N6" s="5"/>
    </row>
    <row r="7" spans="1:14" ht="18" customHeight="1">
      <c r="A7" s="26" t="s">
        <v>208</v>
      </c>
      <c r="B7" s="22"/>
      <c r="C7" s="34" t="s">
        <v>176</v>
      </c>
      <c r="D7" s="22"/>
      <c r="E7" s="34" t="s">
        <v>176</v>
      </c>
      <c r="F7" s="22"/>
      <c r="G7" s="34" t="s">
        <v>176</v>
      </c>
      <c r="H7" s="22"/>
      <c r="I7" s="34" t="s">
        <v>217</v>
      </c>
      <c r="J7" s="22"/>
      <c r="K7" s="34" t="s">
        <v>190</v>
      </c>
      <c r="L7" s="22"/>
      <c r="M7" s="34" t="s">
        <v>190</v>
      </c>
      <c r="N7" s="22"/>
    </row>
    <row r="8" spans="1:14" ht="27.75" customHeight="1">
      <c r="A8" s="25"/>
      <c r="B8" s="22"/>
      <c r="C8" s="25" t="s">
        <v>195</v>
      </c>
      <c r="D8" s="22"/>
      <c r="E8" s="25" t="s">
        <v>195</v>
      </c>
      <c r="F8" s="22"/>
      <c r="G8" s="57" t="s">
        <v>218</v>
      </c>
      <c r="H8" s="22"/>
      <c r="I8" s="25" t="s">
        <v>195</v>
      </c>
      <c r="J8" s="22"/>
      <c r="K8" s="25"/>
      <c r="L8" s="22"/>
      <c r="M8" s="25"/>
      <c r="N8" s="22"/>
    </row>
    <row r="9" spans="1:14" ht="18" customHeight="1">
      <c r="A9" s="23" t="s">
        <v>196</v>
      </c>
      <c r="B9" s="22"/>
      <c r="C9" s="23" t="s">
        <v>196</v>
      </c>
      <c r="D9" s="22"/>
      <c r="E9" s="23" t="s">
        <v>196</v>
      </c>
      <c r="F9" s="22"/>
      <c r="G9" s="23" t="s">
        <v>196</v>
      </c>
      <c r="H9" s="22"/>
      <c r="I9" s="23" t="s">
        <v>196</v>
      </c>
      <c r="J9" s="22"/>
      <c r="K9" s="23" t="s">
        <v>196</v>
      </c>
      <c r="L9" s="22"/>
      <c r="M9" s="23" t="s">
        <v>196</v>
      </c>
      <c r="N9" s="22"/>
    </row>
    <row r="10" spans="1:14" ht="18" customHeight="1">
      <c r="A10" s="21"/>
      <c r="B10" s="22"/>
      <c r="C10" s="21" t="s">
        <v>200</v>
      </c>
      <c r="D10" s="22"/>
      <c r="E10" s="21" t="s">
        <v>200</v>
      </c>
      <c r="F10" s="22"/>
      <c r="G10" s="21" t="s">
        <v>200</v>
      </c>
      <c r="H10" s="22"/>
      <c r="I10" s="21" t="s">
        <v>200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186</v>
      </c>
      <c r="B13" s="22"/>
      <c r="C13" s="30" t="s">
        <v>186</v>
      </c>
      <c r="D13" s="22"/>
      <c r="E13" s="30" t="s">
        <v>186</v>
      </c>
      <c r="F13" s="22"/>
      <c r="G13" s="30" t="s">
        <v>186</v>
      </c>
      <c r="H13" s="22"/>
      <c r="I13" s="30" t="s">
        <v>186</v>
      </c>
      <c r="J13" s="22"/>
      <c r="K13" s="30" t="s">
        <v>186</v>
      </c>
      <c r="L13" s="22"/>
      <c r="M13" s="30" t="s">
        <v>186</v>
      </c>
      <c r="N13" s="22"/>
    </row>
    <row r="14" spans="1:14" ht="18" customHeight="1">
      <c r="A14" s="61" t="s">
        <v>202</v>
      </c>
      <c r="B14" s="31"/>
      <c r="C14" s="61" t="s">
        <v>185</v>
      </c>
      <c r="D14" s="31"/>
      <c r="E14" s="61" t="s">
        <v>204</v>
      </c>
      <c r="F14" s="31"/>
      <c r="G14" s="61" t="s">
        <v>201</v>
      </c>
      <c r="H14" s="31"/>
      <c r="I14" s="61" t="s">
        <v>202</v>
      </c>
      <c r="J14" s="31"/>
      <c r="K14" s="61" t="s">
        <v>202</v>
      </c>
      <c r="L14" s="31"/>
      <c r="M14" s="61" t="s">
        <v>201</v>
      </c>
      <c r="N14" s="31"/>
    </row>
    <row r="15" spans="1:14" ht="18" customHeight="1">
      <c r="A15" s="2">
        <f>M6+1</f>
        <v>45908</v>
      </c>
      <c r="B15" s="3"/>
      <c r="C15" s="2">
        <f>A15+1</f>
        <v>45909</v>
      </c>
      <c r="D15" s="3"/>
      <c r="E15" s="2">
        <f>C15+1</f>
        <v>45910</v>
      </c>
      <c r="F15" s="3"/>
      <c r="G15" s="2">
        <f>E15+1</f>
        <v>45911</v>
      </c>
      <c r="H15" s="3"/>
      <c r="I15" s="2">
        <f>G15+1</f>
        <v>45912</v>
      </c>
      <c r="J15" s="3"/>
      <c r="K15" s="4">
        <f>I15+1</f>
        <v>45913</v>
      </c>
      <c r="L15" s="5"/>
      <c r="M15" s="4">
        <f>K15+1</f>
        <v>45914</v>
      </c>
      <c r="N15" s="5"/>
    </row>
    <row r="16" spans="1:14" ht="18" customHeight="1">
      <c r="A16" s="26" t="s">
        <v>208</v>
      </c>
      <c r="B16" s="22"/>
      <c r="C16" s="26" t="s">
        <v>208</v>
      </c>
      <c r="D16" s="22"/>
      <c r="E16" s="26" t="s">
        <v>208</v>
      </c>
      <c r="F16" s="22"/>
      <c r="G16" s="26" t="s">
        <v>208</v>
      </c>
      <c r="H16" s="22"/>
      <c r="I16" s="26" t="s">
        <v>208</v>
      </c>
      <c r="J16" s="22"/>
      <c r="K16" s="26" t="s">
        <v>208</v>
      </c>
      <c r="L16" s="22"/>
      <c r="M16" s="26" t="s">
        <v>208</v>
      </c>
      <c r="N16" s="22"/>
    </row>
    <row r="17" spans="1:14" ht="18" customHeight="1">
      <c r="A17" s="25" t="s">
        <v>176</v>
      </c>
      <c r="B17" s="22"/>
      <c r="C17" s="25" t="s">
        <v>176</v>
      </c>
      <c r="D17" s="22"/>
      <c r="E17" s="25" t="s">
        <v>176</v>
      </c>
      <c r="F17" s="22"/>
      <c r="G17" s="25" t="s">
        <v>176</v>
      </c>
      <c r="H17" s="22"/>
      <c r="I17" s="25" t="s">
        <v>176</v>
      </c>
      <c r="J17" s="22"/>
      <c r="K17" s="24"/>
      <c r="L17" s="22"/>
      <c r="M17" s="24"/>
      <c r="N17" s="22"/>
    </row>
    <row r="18" spans="1:14" ht="18" customHeight="1">
      <c r="A18" s="23" t="s">
        <v>200</v>
      </c>
      <c r="B18" s="22"/>
      <c r="C18" s="23" t="s">
        <v>200</v>
      </c>
      <c r="D18" s="22"/>
      <c r="E18" s="23" t="s">
        <v>200</v>
      </c>
      <c r="F18" s="22"/>
      <c r="G18" s="23" t="s">
        <v>200</v>
      </c>
      <c r="H18" s="22"/>
      <c r="I18" s="23" t="s">
        <v>200</v>
      </c>
      <c r="J18" s="22"/>
      <c r="K18" s="23" t="s">
        <v>200</v>
      </c>
      <c r="L18" s="22"/>
      <c r="M18" s="23" t="s">
        <v>200</v>
      </c>
      <c r="N18" s="22"/>
    </row>
    <row r="19" spans="1:14" ht="18" customHeight="1">
      <c r="A19" s="21" t="s">
        <v>188</v>
      </c>
      <c r="B19" s="22"/>
      <c r="C19" s="21" t="s">
        <v>188</v>
      </c>
      <c r="D19" s="22"/>
      <c r="E19" s="21" t="s">
        <v>188</v>
      </c>
      <c r="F19" s="22"/>
      <c r="G19" s="21" t="s">
        <v>188</v>
      </c>
      <c r="H19" s="22"/>
      <c r="I19" s="21" t="s">
        <v>188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219</v>
      </c>
      <c r="B22" s="22"/>
      <c r="C22" s="30" t="s">
        <v>219</v>
      </c>
      <c r="D22" s="22"/>
      <c r="E22" s="30" t="s">
        <v>219</v>
      </c>
      <c r="F22" s="22"/>
      <c r="G22" s="30" t="s">
        <v>219</v>
      </c>
      <c r="H22" s="22"/>
      <c r="I22" s="30" t="s">
        <v>219</v>
      </c>
      <c r="J22" s="22"/>
      <c r="K22" s="30" t="s">
        <v>219</v>
      </c>
      <c r="L22" s="22"/>
      <c r="M22" s="30" t="s">
        <v>219</v>
      </c>
      <c r="N22" s="22"/>
    </row>
    <row r="23" spans="1:14" ht="18" customHeight="1">
      <c r="A23" s="61" t="s">
        <v>183</v>
      </c>
      <c r="B23" s="31"/>
      <c r="C23" s="61" t="s">
        <v>185</v>
      </c>
      <c r="D23" s="31"/>
      <c r="E23" s="61" t="s">
        <v>203</v>
      </c>
      <c r="F23" s="31"/>
      <c r="G23" s="61" t="s">
        <v>202</v>
      </c>
      <c r="H23" s="31"/>
      <c r="I23" s="61" t="s">
        <v>201</v>
      </c>
      <c r="J23" s="31"/>
      <c r="K23" s="61" t="s">
        <v>201</v>
      </c>
      <c r="L23" s="31"/>
      <c r="M23" s="61" t="s">
        <v>183</v>
      </c>
      <c r="N23" s="31"/>
    </row>
    <row r="24" spans="1:14" ht="18" customHeight="1">
      <c r="A24" s="2">
        <f>M15+1</f>
        <v>45915</v>
      </c>
      <c r="B24" s="3"/>
      <c r="C24" s="2">
        <f>A24+1</f>
        <v>45916</v>
      </c>
      <c r="D24" s="3"/>
      <c r="E24" s="2">
        <f>C24+1</f>
        <v>45917</v>
      </c>
      <c r="F24" s="3"/>
      <c r="G24" s="2">
        <f>E24+1</f>
        <v>45918</v>
      </c>
      <c r="H24" s="3"/>
      <c r="I24" s="2">
        <f>G24+1</f>
        <v>45919</v>
      </c>
      <c r="J24" s="3"/>
      <c r="K24" s="4">
        <f>I24+1</f>
        <v>45920</v>
      </c>
      <c r="L24" s="5"/>
      <c r="M24" s="4">
        <f>K24+1</f>
        <v>45921</v>
      </c>
      <c r="N24" s="5"/>
    </row>
    <row r="25" spans="1:14" ht="18" customHeight="1">
      <c r="A25" s="26" t="s">
        <v>190</v>
      </c>
      <c r="B25" s="22"/>
      <c r="C25" s="26" t="s">
        <v>190</v>
      </c>
      <c r="D25" s="22"/>
      <c r="E25" s="26" t="s">
        <v>190</v>
      </c>
      <c r="F25" s="22"/>
      <c r="G25" s="26" t="s">
        <v>190</v>
      </c>
      <c r="H25" s="22"/>
      <c r="I25" s="26" t="s">
        <v>190</v>
      </c>
      <c r="J25" s="22"/>
      <c r="K25" s="26" t="s">
        <v>190</v>
      </c>
      <c r="L25" s="22"/>
      <c r="M25" s="26" t="s">
        <v>190</v>
      </c>
      <c r="N25" s="22"/>
    </row>
    <row r="26" spans="1:14" ht="18" customHeight="1">
      <c r="A26" s="25" t="s">
        <v>207</v>
      </c>
      <c r="B26" s="22"/>
      <c r="C26" s="25" t="s">
        <v>207</v>
      </c>
      <c r="D26" s="22"/>
      <c r="E26" s="25" t="s">
        <v>207</v>
      </c>
      <c r="F26" s="22"/>
      <c r="G26" s="25" t="s">
        <v>207</v>
      </c>
      <c r="H26" s="22"/>
      <c r="I26" s="25" t="s">
        <v>207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191</v>
      </c>
      <c r="L27" s="22"/>
      <c r="M27" s="23" t="s">
        <v>191</v>
      </c>
      <c r="N27" s="22"/>
    </row>
    <row r="28" spans="1:14" ht="18" customHeight="1">
      <c r="A28" s="21" t="s">
        <v>188</v>
      </c>
      <c r="B28" s="22"/>
      <c r="C28" s="21" t="s">
        <v>188</v>
      </c>
      <c r="D28" s="22"/>
      <c r="E28" s="21" t="s">
        <v>188</v>
      </c>
      <c r="F28" s="22"/>
      <c r="G28" s="21" t="s">
        <v>188</v>
      </c>
      <c r="H28" s="22"/>
      <c r="I28" s="21" t="s">
        <v>188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199</v>
      </c>
      <c r="B31" s="22"/>
      <c r="C31" s="30" t="s">
        <v>199</v>
      </c>
      <c r="D31" s="22"/>
      <c r="E31" s="30" t="s">
        <v>199</v>
      </c>
      <c r="F31" s="22"/>
      <c r="G31" s="30" t="s">
        <v>199</v>
      </c>
      <c r="H31" s="22"/>
      <c r="I31" s="30" t="s">
        <v>199</v>
      </c>
      <c r="J31" s="22"/>
      <c r="K31" s="30" t="s">
        <v>199</v>
      </c>
      <c r="L31" s="22"/>
      <c r="M31" s="30" t="s">
        <v>199</v>
      </c>
      <c r="N31" s="22"/>
    </row>
    <row r="32" spans="1:14" ht="18" customHeight="1">
      <c r="A32" s="61" t="s">
        <v>204</v>
      </c>
      <c r="B32" s="31"/>
      <c r="C32" s="61" t="s">
        <v>201</v>
      </c>
      <c r="D32" s="31"/>
      <c r="E32" s="61" t="s">
        <v>202</v>
      </c>
      <c r="F32" s="31"/>
      <c r="G32" s="61" t="s">
        <v>203</v>
      </c>
      <c r="H32" s="31"/>
      <c r="I32" s="61" t="s">
        <v>204</v>
      </c>
      <c r="J32" s="31"/>
      <c r="K32" s="61" t="s">
        <v>204</v>
      </c>
      <c r="L32" s="31"/>
      <c r="M32" s="61" t="s">
        <v>202</v>
      </c>
      <c r="N32" s="31"/>
    </row>
    <row r="33" spans="1:14" ht="18" customHeight="1">
      <c r="A33" s="2">
        <f>M24+1</f>
        <v>45922</v>
      </c>
      <c r="B33" s="3"/>
      <c r="C33" s="2">
        <f>A33+1</f>
        <v>45923</v>
      </c>
      <c r="D33" s="3"/>
      <c r="E33" s="2">
        <f>C33+1</f>
        <v>45924</v>
      </c>
      <c r="F33" s="3"/>
      <c r="G33" s="2">
        <f>E33+1</f>
        <v>45925</v>
      </c>
      <c r="H33" s="3"/>
      <c r="I33" s="2">
        <f>G33+1</f>
        <v>45926</v>
      </c>
      <c r="J33" s="3"/>
      <c r="K33" s="4">
        <f>I33+1</f>
        <v>45927</v>
      </c>
      <c r="L33" s="5"/>
      <c r="M33" s="4">
        <f>K33+1</f>
        <v>45928</v>
      </c>
      <c r="N33" s="5"/>
    </row>
    <row r="34" spans="1:14" ht="18" customHeight="1">
      <c r="A34" s="26" t="s">
        <v>195</v>
      </c>
      <c r="B34" s="22"/>
      <c r="C34" s="26" t="s">
        <v>195</v>
      </c>
      <c r="D34" s="22"/>
      <c r="E34" s="26" t="s">
        <v>195</v>
      </c>
      <c r="F34" s="22"/>
      <c r="G34" s="26" t="s">
        <v>195</v>
      </c>
      <c r="H34" s="22"/>
      <c r="I34" s="26" t="s">
        <v>220</v>
      </c>
      <c r="J34" s="22"/>
      <c r="K34" s="26" t="s">
        <v>192</v>
      </c>
      <c r="L34" s="22"/>
      <c r="M34" s="26" t="s">
        <v>221</v>
      </c>
      <c r="N34" s="22"/>
    </row>
    <row r="35" spans="1:14" ht="18" customHeight="1">
      <c r="A35" s="25" t="s">
        <v>186</v>
      </c>
      <c r="B35" s="22"/>
      <c r="C35" s="25" t="s">
        <v>186</v>
      </c>
      <c r="D35" s="22"/>
      <c r="E35" s="25" t="s">
        <v>186</v>
      </c>
      <c r="F35" s="22"/>
      <c r="G35" s="25" t="s">
        <v>186</v>
      </c>
      <c r="H35" s="22"/>
      <c r="I35" s="25" t="s">
        <v>186</v>
      </c>
      <c r="J35" s="22"/>
      <c r="K35" s="24"/>
      <c r="L35" s="22"/>
      <c r="M35" s="24"/>
      <c r="N35" s="22"/>
    </row>
    <row r="36" spans="1:14" ht="18" customHeight="1">
      <c r="A36" s="23" t="s">
        <v>196</v>
      </c>
      <c r="B36" s="22"/>
      <c r="C36" s="23" t="s">
        <v>196</v>
      </c>
      <c r="D36" s="22"/>
      <c r="E36" s="23" t="s">
        <v>196</v>
      </c>
      <c r="F36" s="22"/>
      <c r="G36" s="23" t="s">
        <v>196</v>
      </c>
      <c r="H36" s="22"/>
      <c r="I36" s="23" t="s">
        <v>196</v>
      </c>
      <c r="J36" s="22"/>
      <c r="K36" s="23" t="s">
        <v>196</v>
      </c>
      <c r="L36" s="22"/>
      <c r="M36" s="23" t="s">
        <v>196</v>
      </c>
      <c r="N36" s="22"/>
    </row>
    <row r="37" spans="1:14" ht="18" customHeight="1">
      <c r="A37" s="21" t="s">
        <v>181</v>
      </c>
      <c r="B37" s="22"/>
      <c r="C37" s="21" t="s">
        <v>181</v>
      </c>
      <c r="D37" s="22"/>
      <c r="E37" s="21" t="s">
        <v>181</v>
      </c>
      <c r="F37" s="22"/>
      <c r="G37" s="21" t="s">
        <v>181</v>
      </c>
      <c r="H37" s="22"/>
      <c r="I37" s="21" t="s">
        <v>181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208</v>
      </c>
      <c r="B40" s="22"/>
      <c r="C40" s="30" t="s">
        <v>208</v>
      </c>
      <c r="D40" s="22"/>
      <c r="E40" s="30" t="s">
        <v>208</v>
      </c>
      <c r="F40" s="22"/>
      <c r="G40" s="30" t="s">
        <v>208</v>
      </c>
      <c r="H40" s="22"/>
      <c r="I40" s="30" t="s">
        <v>208</v>
      </c>
      <c r="J40" s="22"/>
      <c r="K40" s="30" t="s">
        <v>208</v>
      </c>
      <c r="L40" s="22"/>
      <c r="M40" s="30" t="s">
        <v>208</v>
      </c>
      <c r="N40" s="22"/>
    </row>
    <row r="41" spans="1:14" ht="18" customHeight="1">
      <c r="A41" s="61" t="s">
        <v>204</v>
      </c>
      <c r="B41" s="31"/>
      <c r="C41" s="61" t="s">
        <v>203</v>
      </c>
      <c r="D41" s="31"/>
      <c r="E41" s="61" t="s">
        <v>201</v>
      </c>
      <c r="F41" s="31"/>
      <c r="G41" s="61" t="s">
        <v>204</v>
      </c>
      <c r="H41" s="31"/>
      <c r="I41" s="61" t="s">
        <v>203</v>
      </c>
      <c r="J41" s="31"/>
      <c r="K41" s="61" t="s">
        <v>203</v>
      </c>
      <c r="L41" s="31"/>
      <c r="M41" s="61" t="s">
        <v>185</v>
      </c>
      <c r="N41" s="31"/>
    </row>
    <row r="42" spans="1:14" ht="18" customHeight="1">
      <c r="A42" s="2">
        <f>IF(M33="","",IF(MONTH(M33+1)&lt;&gt;MONTH($A$1),"",M33+1))</f>
        <v>45929</v>
      </c>
      <c r="B42" s="3"/>
      <c r="C42" s="2">
        <f>IF(A42="","",IF(MONTH(A42+1)&lt;&gt;MONTH($A$1),"",A42+1))</f>
        <v>45930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26" t="s">
        <v>199</v>
      </c>
      <c r="B43" s="22"/>
      <c r="C43" s="26" t="s">
        <v>199</v>
      </c>
      <c r="D43" s="22"/>
      <c r="E43" s="26" t="s">
        <v>199</v>
      </c>
      <c r="F43" s="22"/>
      <c r="G43" s="26" t="s">
        <v>199</v>
      </c>
      <c r="H43" s="22"/>
      <c r="I43" s="26" t="s">
        <v>199</v>
      </c>
      <c r="J43" s="22"/>
      <c r="K43" s="26" t="s">
        <v>199</v>
      </c>
      <c r="L43" s="22"/>
      <c r="M43" s="26" t="s">
        <v>199</v>
      </c>
      <c r="N43" s="22"/>
    </row>
    <row r="44" spans="1:14" ht="18" customHeight="1">
      <c r="A44" s="25" t="s">
        <v>174</v>
      </c>
      <c r="B44" s="22"/>
      <c r="C44" s="25" t="s">
        <v>174</v>
      </c>
      <c r="D44" s="22"/>
      <c r="E44" s="25" t="s">
        <v>174</v>
      </c>
      <c r="F44" s="22"/>
      <c r="G44" s="25" t="s">
        <v>174</v>
      </c>
      <c r="H44" s="22"/>
      <c r="I44" s="25" t="s">
        <v>174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21" t="s">
        <v>181</v>
      </c>
      <c r="B46" s="22"/>
      <c r="C46" s="21" t="s">
        <v>181</v>
      </c>
      <c r="D46" s="22"/>
      <c r="E46" s="21" t="s">
        <v>181</v>
      </c>
      <c r="F46" s="22"/>
      <c r="G46" s="21" t="s">
        <v>181</v>
      </c>
      <c r="H46" s="22"/>
      <c r="I46" s="21" t="s">
        <v>181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195</v>
      </c>
      <c r="B49" s="22"/>
      <c r="C49" s="30" t="s">
        <v>195</v>
      </c>
      <c r="D49" s="22"/>
      <c r="E49" s="30" t="s">
        <v>195</v>
      </c>
      <c r="F49" s="22"/>
      <c r="G49" s="30" t="s">
        <v>195</v>
      </c>
      <c r="H49" s="22"/>
      <c r="I49" s="30" t="s">
        <v>195</v>
      </c>
      <c r="J49" s="22"/>
      <c r="K49" s="30" t="s">
        <v>195</v>
      </c>
      <c r="L49" s="22"/>
      <c r="M49" s="30" t="s">
        <v>195</v>
      </c>
      <c r="N49" s="22"/>
    </row>
    <row r="50" spans="1:14" ht="18" customHeight="1">
      <c r="A50" s="61" t="s">
        <v>202</v>
      </c>
      <c r="B50" s="31"/>
      <c r="C50" s="61" t="s">
        <v>204</v>
      </c>
      <c r="D50" s="31"/>
      <c r="E50" s="61" t="s">
        <v>185</v>
      </c>
      <c r="F50" s="31"/>
      <c r="G50" s="61" t="s">
        <v>222</v>
      </c>
      <c r="H50" s="31"/>
      <c r="I50" s="61" t="s">
        <v>203</v>
      </c>
      <c r="J50" s="31"/>
      <c r="K50" s="61" t="s">
        <v>223</v>
      </c>
      <c r="L50" s="31"/>
      <c r="M50" s="61" t="s">
        <v>183</v>
      </c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4" workbookViewId="0">
      <selection activeCell="O20" sqref="O2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EDATE('©'!A17,39)</f>
        <v>45931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OCTOBER 2025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45936</v>
      </c>
      <c r="B5" s="51"/>
      <c r="C5" s="50">
        <f>C15</f>
        <v>45937</v>
      </c>
      <c r="D5" s="51"/>
      <c r="E5" s="50">
        <f>E15</f>
        <v>45938</v>
      </c>
      <c r="F5" s="51"/>
      <c r="G5" s="50">
        <f>G15</f>
        <v>45939</v>
      </c>
      <c r="H5" s="51"/>
      <c r="I5" s="50">
        <f>I15</f>
        <v>45940</v>
      </c>
      <c r="J5" s="51"/>
      <c r="K5" s="50">
        <f>K15</f>
        <v>45941</v>
      </c>
      <c r="L5" s="51"/>
      <c r="M5" s="50">
        <f>M15</f>
        <v>45942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45931</v>
      </c>
      <c r="F6" s="3"/>
      <c r="G6" s="2">
        <f>IF(E6="",IF(WEEKDAY($A$1,1)=MOD(startday,7)+3,$A$1,""),E6+1)</f>
        <v>45932</v>
      </c>
      <c r="H6" s="3"/>
      <c r="I6" s="2">
        <f>IF(G6="",IF(WEEKDAY($A$1,1)=MOD(startday,7)+4,$A$1,""),G6+1)</f>
        <v>45933</v>
      </c>
      <c r="J6" s="3"/>
      <c r="K6" s="4">
        <f>IF(I6="",IF(WEEKDAY($A$1,1)=MOD(startday,7)+5,$A$1,""),I6+1)</f>
        <v>45934</v>
      </c>
      <c r="L6" s="5"/>
      <c r="M6" s="4">
        <f>IF(K6="",IF(WEEKDAY($A$1,1)=MOD(startday+5,7)+1,$A$1,""),K6+1)</f>
        <v>45935</v>
      </c>
      <c r="N6" s="5"/>
    </row>
    <row r="7" spans="1:14" ht="18" customHeight="1">
      <c r="A7" s="26" t="s">
        <v>199</v>
      </c>
      <c r="B7" s="22"/>
      <c r="C7" s="26" t="s">
        <v>199</v>
      </c>
      <c r="D7" s="22"/>
      <c r="E7" s="26" t="s">
        <v>199</v>
      </c>
      <c r="F7" s="22"/>
      <c r="G7" s="26" t="s">
        <v>199</v>
      </c>
      <c r="H7" s="22"/>
      <c r="I7" s="26" t="s">
        <v>199</v>
      </c>
      <c r="J7" s="22"/>
      <c r="K7" s="26" t="s">
        <v>199</v>
      </c>
      <c r="L7" s="22"/>
      <c r="M7" s="26" t="s">
        <v>199</v>
      </c>
      <c r="N7" s="22"/>
    </row>
    <row r="8" spans="1:14" ht="18" customHeight="1">
      <c r="A8" s="25" t="s">
        <v>174</v>
      </c>
      <c r="B8" s="22"/>
      <c r="C8" s="25" t="s">
        <v>174</v>
      </c>
      <c r="D8" s="22"/>
      <c r="E8" s="25" t="s">
        <v>174</v>
      </c>
      <c r="F8" s="22"/>
      <c r="G8" s="25" t="s">
        <v>174</v>
      </c>
      <c r="H8" s="22"/>
      <c r="I8" s="25" t="s">
        <v>174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21" t="s">
        <v>181</v>
      </c>
      <c r="B10" s="22"/>
      <c r="C10" s="21" t="s">
        <v>181</v>
      </c>
      <c r="D10" s="22"/>
      <c r="E10" s="21" t="s">
        <v>181</v>
      </c>
      <c r="F10" s="22"/>
      <c r="G10" s="21" t="s">
        <v>181</v>
      </c>
      <c r="H10" s="22"/>
      <c r="I10" s="21" t="s">
        <v>181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195</v>
      </c>
      <c r="B13" s="22"/>
      <c r="C13" s="30" t="s">
        <v>195</v>
      </c>
      <c r="D13" s="22"/>
      <c r="E13" s="30" t="s">
        <v>195</v>
      </c>
      <c r="F13" s="22"/>
      <c r="G13" s="30" t="s">
        <v>195</v>
      </c>
      <c r="H13" s="22"/>
      <c r="I13" s="30" t="s">
        <v>195</v>
      </c>
      <c r="J13" s="22"/>
      <c r="K13" s="30" t="s">
        <v>195</v>
      </c>
      <c r="L13" s="22"/>
      <c r="M13" s="30" t="s">
        <v>195</v>
      </c>
      <c r="N13" s="22"/>
    </row>
    <row r="14" spans="1:14" ht="18" customHeight="1">
      <c r="A14" s="61"/>
      <c r="B14" s="31"/>
      <c r="C14" s="61"/>
      <c r="D14" s="31"/>
      <c r="E14" s="61" t="s">
        <v>185</v>
      </c>
      <c r="F14" s="31"/>
      <c r="G14" s="61" t="s">
        <v>222</v>
      </c>
      <c r="H14" s="31"/>
      <c r="I14" s="61" t="s">
        <v>203</v>
      </c>
      <c r="J14" s="31"/>
      <c r="K14" s="61" t="s">
        <v>223</v>
      </c>
      <c r="L14" s="31"/>
      <c r="M14" s="61" t="s">
        <v>183</v>
      </c>
      <c r="N14" s="31"/>
    </row>
    <row r="15" spans="1:14" ht="18" customHeight="1">
      <c r="A15" s="2">
        <f>M6+1</f>
        <v>45936</v>
      </c>
      <c r="B15" s="3"/>
      <c r="C15" s="2">
        <f>A15+1</f>
        <v>45937</v>
      </c>
      <c r="D15" s="3"/>
      <c r="E15" s="2">
        <f>C15+1</f>
        <v>45938</v>
      </c>
      <c r="F15" s="3"/>
      <c r="G15" s="2">
        <f>E15+1</f>
        <v>45939</v>
      </c>
      <c r="H15" s="3"/>
      <c r="I15" s="2">
        <f>G15+1</f>
        <v>45940</v>
      </c>
      <c r="J15" s="3"/>
      <c r="K15" s="4">
        <f>I15+1</f>
        <v>45941</v>
      </c>
      <c r="L15" s="5"/>
      <c r="M15" s="4">
        <f>K15+1</f>
        <v>45942</v>
      </c>
      <c r="N15" s="5"/>
    </row>
    <row r="16" spans="1:14" ht="18" customHeight="1">
      <c r="A16" s="45" t="s">
        <v>43</v>
      </c>
      <c r="B16" s="46"/>
      <c r="C16" s="45" t="s">
        <v>43</v>
      </c>
      <c r="D16" s="46"/>
      <c r="E16" s="45" t="s">
        <v>43</v>
      </c>
      <c r="F16" s="46"/>
      <c r="G16" s="45" t="s">
        <v>43</v>
      </c>
      <c r="H16" s="46"/>
      <c r="I16" s="45" t="s">
        <v>43</v>
      </c>
      <c r="J16" s="46"/>
      <c r="K16" s="45" t="s">
        <v>43</v>
      </c>
      <c r="L16" s="46"/>
      <c r="M16" s="45" t="s">
        <v>43</v>
      </c>
      <c r="N16" s="46"/>
    </row>
    <row r="17" spans="1:14" ht="18" customHeight="1">
      <c r="A17" s="25" t="s">
        <v>190</v>
      </c>
      <c r="B17" s="43"/>
      <c r="C17" s="25" t="s">
        <v>190</v>
      </c>
      <c r="D17" s="43"/>
      <c r="E17" s="25" t="s">
        <v>190</v>
      </c>
      <c r="F17" s="43"/>
      <c r="G17" s="25" t="s">
        <v>190</v>
      </c>
      <c r="H17" s="43"/>
      <c r="I17" s="25" t="s">
        <v>190</v>
      </c>
      <c r="J17" s="43"/>
      <c r="K17" s="24"/>
      <c r="L17" s="22"/>
      <c r="M17" s="24"/>
      <c r="N17" s="22"/>
    </row>
    <row r="18" spans="1:14" ht="18" customHeight="1">
      <c r="A18" s="23" t="s">
        <v>188</v>
      </c>
      <c r="B18" s="22"/>
      <c r="C18" s="23" t="s">
        <v>188</v>
      </c>
      <c r="D18" s="22"/>
      <c r="E18" s="23" t="s">
        <v>188</v>
      </c>
      <c r="F18" s="22"/>
      <c r="G18" s="23" t="s">
        <v>188</v>
      </c>
      <c r="H18" s="22"/>
      <c r="I18" s="23" t="s">
        <v>188</v>
      </c>
      <c r="J18" s="22"/>
      <c r="K18" s="23" t="s">
        <v>188</v>
      </c>
      <c r="L18" s="22"/>
      <c r="M18" s="23" t="s">
        <v>188</v>
      </c>
      <c r="N18" s="22"/>
    </row>
    <row r="19" spans="1:14" ht="18" customHeight="1">
      <c r="A19" s="21" t="s">
        <v>178</v>
      </c>
      <c r="B19" s="22"/>
      <c r="C19" s="21" t="s">
        <v>178</v>
      </c>
      <c r="D19" s="22"/>
      <c r="E19" s="21" t="s">
        <v>178</v>
      </c>
      <c r="F19" s="22"/>
      <c r="G19" s="21" t="s">
        <v>178</v>
      </c>
      <c r="H19" s="22"/>
      <c r="I19" s="21" t="s">
        <v>178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192</v>
      </c>
      <c r="B22" s="22"/>
      <c r="C22" s="30" t="s">
        <v>192</v>
      </c>
      <c r="D22" s="22"/>
      <c r="E22" s="30" t="s">
        <v>192</v>
      </c>
      <c r="F22" s="22"/>
      <c r="G22" s="30" t="s">
        <v>192</v>
      </c>
      <c r="H22" s="22"/>
      <c r="I22" s="30" t="s">
        <v>192</v>
      </c>
      <c r="J22" s="22"/>
      <c r="K22" s="30" t="s">
        <v>192</v>
      </c>
      <c r="L22" s="22"/>
      <c r="M22" s="30" t="s">
        <v>192</v>
      </c>
      <c r="N22" s="22"/>
    </row>
    <row r="23" spans="1:14" ht="18" customHeight="1">
      <c r="A23" s="61" t="s">
        <v>185</v>
      </c>
      <c r="B23" s="31"/>
      <c r="C23" s="61" t="s">
        <v>211</v>
      </c>
      <c r="D23" s="31"/>
      <c r="E23" s="61" t="s">
        <v>203</v>
      </c>
      <c r="F23" s="31"/>
      <c r="G23" s="61" t="s">
        <v>211</v>
      </c>
      <c r="H23" s="31"/>
      <c r="I23" s="61" t="s">
        <v>201</v>
      </c>
      <c r="J23" s="31"/>
      <c r="K23" s="61" t="s">
        <v>201</v>
      </c>
      <c r="L23" s="31"/>
      <c r="M23" s="61" t="s">
        <v>202</v>
      </c>
      <c r="N23" s="31"/>
    </row>
    <row r="24" spans="1:14" ht="18" customHeight="1">
      <c r="A24" s="2">
        <f>M15+1</f>
        <v>45943</v>
      </c>
      <c r="B24" s="3"/>
      <c r="C24" s="2">
        <f>A24+1</f>
        <v>45944</v>
      </c>
      <c r="D24" s="3"/>
      <c r="E24" s="2">
        <f>C24+1</f>
        <v>45945</v>
      </c>
      <c r="F24" s="3"/>
      <c r="G24" s="2">
        <f>E24+1</f>
        <v>45946</v>
      </c>
      <c r="H24" s="3"/>
      <c r="I24" s="2">
        <f>G24+1</f>
        <v>45947</v>
      </c>
      <c r="J24" s="3"/>
      <c r="K24" s="4">
        <f>I24+1</f>
        <v>45948</v>
      </c>
      <c r="L24" s="5"/>
      <c r="M24" s="4">
        <f>K24+1</f>
        <v>45949</v>
      </c>
      <c r="N24" s="5"/>
    </row>
    <row r="25" spans="1:14" ht="18" customHeight="1">
      <c r="A25" s="26" t="s">
        <v>207</v>
      </c>
      <c r="B25" s="22"/>
      <c r="C25" s="26" t="s">
        <v>207</v>
      </c>
      <c r="D25" s="22"/>
      <c r="E25" s="26" t="s">
        <v>207</v>
      </c>
      <c r="F25" s="22"/>
      <c r="G25" s="26" t="s">
        <v>207</v>
      </c>
      <c r="H25" s="22"/>
      <c r="I25" s="26" t="s">
        <v>207</v>
      </c>
      <c r="J25" s="22"/>
      <c r="K25" s="26" t="s">
        <v>207</v>
      </c>
      <c r="L25" s="22"/>
      <c r="M25" s="26" t="s">
        <v>207</v>
      </c>
      <c r="N25" s="22"/>
    </row>
    <row r="26" spans="1:14" ht="18" customHeight="1">
      <c r="A26" s="25" t="s">
        <v>192</v>
      </c>
      <c r="B26" s="22"/>
      <c r="C26" s="25" t="s">
        <v>192</v>
      </c>
      <c r="D26" s="22"/>
      <c r="E26" s="25" t="s">
        <v>192</v>
      </c>
      <c r="F26" s="22"/>
      <c r="G26" s="25" t="s">
        <v>192</v>
      </c>
      <c r="H26" s="22"/>
      <c r="I26" s="25" t="s">
        <v>192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191</v>
      </c>
      <c r="L27" s="22"/>
      <c r="M27" s="23" t="s">
        <v>191</v>
      </c>
      <c r="N27" s="22"/>
    </row>
    <row r="28" spans="1:14" ht="18" customHeight="1">
      <c r="A28" s="21" t="s">
        <v>188</v>
      </c>
      <c r="B28" s="22"/>
      <c r="C28" s="21" t="s">
        <v>188</v>
      </c>
      <c r="D28" s="22"/>
      <c r="E28" s="21" t="s">
        <v>188</v>
      </c>
      <c r="F28" s="22"/>
      <c r="G28" s="21" t="s">
        <v>188</v>
      </c>
      <c r="H28" s="22"/>
      <c r="I28" s="21" t="s">
        <v>188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177</v>
      </c>
      <c r="B31" s="22"/>
      <c r="C31" s="30" t="s">
        <v>177</v>
      </c>
      <c r="D31" s="22"/>
      <c r="E31" s="30" t="s">
        <v>177</v>
      </c>
      <c r="F31" s="22"/>
      <c r="G31" s="30" t="s">
        <v>177</v>
      </c>
      <c r="H31" s="22"/>
      <c r="I31" s="30" t="s">
        <v>177</v>
      </c>
      <c r="J31" s="22"/>
      <c r="K31" s="30" t="s">
        <v>177</v>
      </c>
      <c r="L31" s="22"/>
      <c r="M31" s="30" t="s">
        <v>177</v>
      </c>
      <c r="N31" s="22"/>
    </row>
    <row r="32" spans="1:14" ht="18" customHeight="1">
      <c r="A32" s="61" t="s">
        <v>183</v>
      </c>
      <c r="B32" s="31"/>
      <c r="C32" s="61" t="s">
        <v>201</v>
      </c>
      <c r="D32" s="31"/>
      <c r="E32" s="61" t="s">
        <v>193</v>
      </c>
      <c r="F32" s="31"/>
      <c r="G32" s="61" t="s">
        <v>202</v>
      </c>
      <c r="H32" s="31"/>
      <c r="I32" s="61" t="s">
        <v>183</v>
      </c>
      <c r="J32" s="31"/>
      <c r="K32" s="61" t="s">
        <v>224</v>
      </c>
      <c r="L32" s="31"/>
      <c r="M32" s="61" t="s">
        <v>201</v>
      </c>
      <c r="N32" s="31"/>
    </row>
    <row r="33" spans="1:14" ht="18" customHeight="1">
      <c r="A33" s="2">
        <f>M24+1</f>
        <v>45950</v>
      </c>
      <c r="B33" s="3"/>
      <c r="C33" s="2">
        <f>A33+1</f>
        <v>45951</v>
      </c>
      <c r="D33" s="3"/>
      <c r="E33" s="2">
        <f>C33+1</f>
        <v>45952</v>
      </c>
      <c r="F33" s="3"/>
      <c r="G33" s="2">
        <f>E33+1</f>
        <v>45953</v>
      </c>
      <c r="H33" s="3"/>
      <c r="I33" s="2">
        <f>G33+1</f>
        <v>45954</v>
      </c>
      <c r="J33" s="3"/>
      <c r="K33" s="4">
        <f>I33+1</f>
        <v>45955</v>
      </c>
      <c r="L33" s="5"/>
      <c r="M33" s="4">
        <f>K33+1</f>
        <v>45956</v>
      </c>
      <c r="N33" s="5"/>
    </row>
    <row r="34" spans="1:14" ht="18" customHeight="1">
      <c r="A34" s="26" t="s">
        <v>186</v>
      </c>
      <c r="B34" s="22"/>
      <c r="C34" s="26" t="s">
        <v>186</v>
      </c>
      <c r="D34" s="22"/>
      <c r="E34" s="26" t="s">
        <v>186</v>
      </c>
      <c r="F34" s="22"/>
      <c r="G34" s="26" t="s">
        <v>186</v>
      </c>
      <c r="H34" s="22"/>
      <c r="I34" s="26" t="s">
        <v>186</v>
      </c>
      <c r="J34" s="22"/>
      <c r="K34" s="26" t="s">
        <v>186</v>
      </c>
      <c r="L34" s="22"/>
      <c r="M34" s="26" t="s">
        <v>186</v>
      </c>
      <c r="N34" s="22"/>
    </row>
    <row r="35" spans="1:14" ht="18" customHeight="1">
      <c r="A35" s="25" t="s">
        <v>199</v>
      </c>
      <c r="B35" s="22"/>
      <c r="C35" s="25" t="s">
        <v>199</v>
      </c>
      <c r="D35" s="22"/>
      <c r="E35" s="25" t="s">
        <v>199</v>
      </c>
      <c r="F35" s="22"/>
      <c r="G35" s="25" t="s">
        <v>199</v>
      </c>
      <c r="H35" s="22"/>
      <c r="I35" s="25" t="s">
        <v>199</v>
      </c>
      <c r="J35" s="22"/>
      <c r="K35" s="24"/>
      <c r="L35" s="22"/>
      <c r="M35" s="24"/>
      <c r="N35" s="22"/>
    </row>
    <row r="36" spans="1:14" ht="18" customHeight="1">
      <c r="A36" s="23" t="s">
        <v>209</v>
      </c>
      <c r="B36" s="22"/>
      <c r="C36" s="23" t="s">
        <v>209</v>
      </c>
      <c r="D36" s="22"/>
      <c r="E36" s="23" t="s">
        <v>209</v>
      </c>
      <c r="F36" s="22"/>
      <c r="G36" s="23" t="s">
        <v>209</v>
      </c>
      <c r="H36" s="22"/>
      <c r="I36" s="23" t="s">
        <v>225</v>
      </c>
      <c r="J36" s="22"/>
      <c r="K36" s="23" t="s">
        <v>200</v>
      </c>
      <c r="L36" s="22"/>
      <c r="M36" s="23" t="s">
        <v>200</v>
      </c>
      <c r="N36" s="22"/>
    </row>
    <row r="37" spans="1:14" ht="18" customHeight="1">
      <c r="A37" s="21" t="s">
        <v>200</v>
      </c>
      <c r="B37" s="22"/>
      <c r="C37" s="21" t="s">
        <v>200</v>
      </c>
      <c r="D37" s="22"/>
      <c r="E37" s="21" t="s">
        <v>200</v>
      </c>
      <c r="F37" s="22"/>
      <c r="G37" s="21" t="s">
        <v>200</v>
      </c>
      <c r="H37" s="22"/>
      <c r="I37" s="21" t="s">
        <v>200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176</v>
      </c>
      <c r="B40" s="22"/>
      <c r="C40" s="30" t="s">
        <v>176</v>
      </c>
      <c r="D40" s="22"/>
      <c r="E40" s="30" t="s">
        <v>176</v>
      </c>
      <c r="F40" s="22"/>
      <c r="G40" s="30" t="s">
        <v>176</v>
      </c>
      <c r="H40" s="22"/>
      <c r="I40" s="30" t="s">
        <v>176</v>
      </c>
      <c r="J40" s="22"/>
      <c r="K40" s="30" t="s">
        <v>176</v>
      </c>
      <c r="L40" s="22"/>
      <c r="M40" s="30" t="s">
        <v>176</v>
      </c>
      <c r="N40" s="22"/>
    </row>
    <row r="41" spans="1:14" ht="18" customHeight="1">
      <c r="A41" s="61" t="s">
        <v>203</v>
      </c>
      <c r="B41" s="31"/>
      <c r="C41" s="61" t="s">
        <v>193</v>
      </c>
      <c r="D41" s="31"/>
      <c r="E41" s="61" t="s">
        <v>201</v>
      </c>
      <c r="F41" s="31"/>
      <c r="G41" s="61" t="s">
        <v>202</v>
      </c>
      <c r="H41" s="31"/>
      <c r="I41" s="61" t="s">
        <v>185</v>
      </c>
      <c r="J41" s="31"/>
      <c r="K41" s="61" t="s">
        <v>226</v>
      </c>
      <c r="L41" s="31"/>
      <c r="M41" s="61" t="s">
        <v>183</v>
      </c>
      <c r="N41" s="31"/>
    </row>
    <row r="42" spans="1:14" ht="18" customHeight="1">
      <c r="A42" s="2">
        <f>IF(M33="","",IF(MONTH(M33+1)&lt;&gt;MONTH($A$1),"",M33+1))</f>
        <v>45957</v>
      </c>
      <c r="B42" s="3"/>
      <c r="C42" s="2">
        <f>IF(A42="","",IF(MONTH(A42+1)&lt;&gt;MONTH($A$1),"",A42+1))</f>
        <v>45958</v>
      </c>
      <c r="D42" s="3"/>
      <c r="E42" s="2">
        <v>29</v>
      </c>
      <c r="F42" s="3"/>
      <c r="G42" s="2">
        <v>30</v>
      </c>
      <c r="H42" s="3"/>
      <c r="I42" s="2">
        <v>31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26" t="s">
        <v>208</v>
      </c>
      <c r="B43" s="22"/>
      <c r="C43" s="26" t="s">
        <v>208</v>
      </c>
      <c r="D43" s="22"/>
      <c r="E43" s="26" t="s">
        <v>208</v>
      </c>
      <c r="F43" s="22"/>
      <c r="G43" s="26" t="s">
        <v>208</v>
      </c>
      <c r="H43" s="22"/>
      <c r="I43" s="26" t="s">
        <v>208</v>
      </c>
      <c r="J43" s="22"/>
      <c r="K43" s="26" t="s">
        <v>208</v>
      </c>
      <c r="L43" s="22"/>
      <c r="M43" s="26" t="s">
        <v>208</v>
      </c>
      <c r="N43" s="22"/>
    </row>
    <row r="44" spans="1:14" ht="18" customHeight="1">
      <c r="A44" s="25" t="s">
        <v>207</v>
      </c>
      <c r="B44" s="22"/>
      <c r="C44" s="25" t="s">
        <v>207</v>
      </c>
      <c r="D44" s="22"/>
      <c r="E44" s="25" t="s">
        <v>207</v>
      </c>
      <c r="F44" s="22"/>
      <c r="G44" s="25" t="s">
        <v>207</v>
      </c>
      <c r="H44" s="22"/>
      <c r="I44" s="25" t="s">
        <v>207</v>
      </c>
      <c r="J44" s="22"/>
      <c r="K44" s="24"/>
      <c r="L44" s="22"/>
      <c r="M44" s="24"/>
      <c r="N44" s="22"/>
    </row>
    <row r="45" spans="1:14" ht="18" customHeight="1">
      <c r="A45" s="23" t="s">
        <v>200</v>
      </c>
      <c r="B45" s="22"/>
      <c r="C45" s="23" t="s">
        <v>200</v>
      </c>
      <c r="D45" s="22"/>
      <c r="E45" s="23" t="s">
        <v>200</v>
      </c>
      <c r="F45" s="22"/>
      <c r="G45" s="23" t="s">
        <v>200</v>
      </c>
      <c r="H45" s="22"/>
      <c r="I45" s="23" t="s">
        <v>227</v>
      </c>
      <c r="J45" s="22"/>
      <c r="K45" s="23" t="s">
        <v>209</v>
      </c>
      <c r="L45" s="22"/>
      <c r="M45" s="23" t="s">
        <v>209</v>
      </c>
      <c r="N45" s="22"/>
    </row>
    <row r="46" spans="1:14" ht="18" customHeight="1">
      <c r="A46" s="21" t="s">
        <v>181</v>
      </c>
      <c r="B46" s="22"/>
      <c r="C46" s="21" t="s">
        <v>181</v>
      </c>
      <c r="D46" s="22"/>
      <c r="E46" s="21" t="s">
        <v>181</v>
      </c>
      <c r="F46" s="22"/>
      <c r="G46" s="21" t="s">
        <v>181</v>
      </c>
      <c r="H46" s="22"/>
      <c r="I46" s="21" t="s">
        <v>181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43</v>
      </c>
      <c r="B49" s="22"/>
      <c r="C49" s="30" t="s">
        <v>43</v>
      </c>
      <c r="D49" s="22"/>
      <c r="E49" s="30" t="s">
        <v>43</v>
      </c>
      <c r="F49" s="22"/>
      <c r="G49" s="30" t="s">
        <v>43</v>
      </c>
      <c r="H49" s="22"/>
      <c r="I49" s="30" t="s">
        <v>43</v>
      </c>
      <c r="J49" s="22"/>
      <c r="K49" s="30" t="s">
        <v>43</v>
      </c>
      <c r="L49" s="22"/>
      <c r="M49" s="30" t="s">
        <v>43</v>
      </c>
      <c r="N49" s="22"/>
    </row>
    <row r="50" spans="1:14" ht="18" customHeight="1">
      <c r="A50" s="61" t="s">
        <v>201</v>
      </c>
      <c r="B50" s="31"/>
      <c r="C50" s="61" t="s">
        <v>203</v>
      </c>
      <c r="D50" s="31"/>
      <c r="E50" s="61" t="s">
        <v>185</v>
      </c>
      <c r="F50" s="31"/>
      <c r="G50" s="61" t="s">
        <v>193</v>
      </c>
      <c r="H50" s="31"/>
      <c r="I50" s="61" t="s">
        <v>203</v>
      </c>
      <c r="J50" s="31"/>
      <c r="K50" s="61"/>
      <c r="L50" s="31"/>
      <c r="M50" s="61"/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workbookViewId="0">
      <selection activeCell="G38" sqref="G38:H3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EDATE('©'!A17,40)</f>
        <v>45962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NOVEMBER 2025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45964</v>
      </c>
      <c r="B5" s="51"/>
      <c r="C5" s="50">
        <f>C15</f>
        <v>45965</v>
      </c>
      <c r="D5" s="51"/>
      <c r="E5" s="50">
        <f>E15</f>
        <v>45966</v>
      </c>
      <c r="F5" s="51"/>
      <c r="G5" s="50">
        <f>G15</f>
        <v>45967</v>
      </c>
      <c r="H5" s="51"/>
      <c r="I5" s="50">
        <f>I15</f>
        <v>45968</v>
      </c>
      <c r="J5" s="51"/>
      <c r="K5" s="50">
        <f>K15</f>
        <v>45969</v>
      </c>
      <c r="L5" s="51"/>
      <c r="M5" s="50">
        <f>M15</f>
        <v>45970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45962</v>
      </c>
      <c r="L6" s="5"/>
      <c r="M6" s="4">
        <f>IF(K6="",IF(WEEKDAY($A$1,1)=MOD(startday+5,7)+1,$A$1,""),K6+1)</f>
        <v>45963</v>
      </c>
      <c r="N6" s="5"/>
    </row>
    <row r="7" spans="1:14" ht="18" customHeight="1">
      <c r="A7" s="26" t="s">
        <v>208</v>
      </c>
      <c r="B7" s="22"/>
      <c r="C7" s="26" t="s">
        <v>208</v>
      </c>
      <c r="D7" s="22"/>
      <c r="E7" s="26" t="s">
        <v>208</v>
      </c>
      <c r="F7" s="22"/>
      <c r="G7" s="26" t="s">
        <v>208</v>
      </c>
      <c r="H7" s="22"/>
      <c r="I7" s="26" t="s">
        <v>208</v>
      </c>
      <c r="J7" s="22"/>
      <c r="K7" s="26" t="s">
        <v>208</v>
      </c>
      <c r="L7" s="22"/>
      <c r="M7" s="26" t="s">
        <v>208</v>
      </c>
      <c r="N7" s="22"/>
    </row>
    <row r="8" spans="1:14" ht="18" customHeight="1">
      <c r="A8" s="25" t="s">
        <v>207</v>
      </c>
      <c r="B8" s="22"/>
      <c r="C8" s="25" t="s">
        <v>207</v>
      </c>
      <c r="D8" s="22"/>
      <c r="E8" s="25" t="s">
        <v>207</v>
      </c>
      <c r="F8" s="22"/>
      <c r="G8" s="25" t="s">
        <v>207</v>
      </c>
      <c r="H8" s="22"/>
      <c r="I8" s="25" t="s">
        <v>207</v>
      </c>
      <c r="J8" s="22"/>
      <c r="K8" s="24"/>
      <c r="L8" s="22"/>
      <c r="M8" s="24"/>
      <c r="N8" s="22"/>
    </row>
    <row r="9" spans="1:14" ht="18" customHeight="1">
      <c r="A9" s="23" t="s">
        <v>200</v>
      </c>
      <c r="B9" s="22"/>
      <c r="C9" s="23" t="s">
        <v>200</v>
      </c>
      <c r="D9" s="22"/>
      <c r="E9" s="23" t="s">
        <v>200</v>
      </c>
      <c r="F9" s="22"/>
      <c r="G9" s="23" t="s">
        <v>200</v>
      </c>
      <c r="H9" s="22"/>
      <c r="I9" s="23" t="s">
        <v>227</v>
      </c>
      <c r="J9" s="22"/>
      <c r="K9" s="23" t="s">
        <v>209</v>
      </c>
      <c r="L9" s="22"/>
      <c r="M9" s="23" t="s">
        <v>209</v>
      </c>
      <c r="N9" s="22"/>
    </row>
    <row r="10" spans="1:14" ht="18" customHeight="1">
      <c r="A10" s="21" t="s">
        <v>181</v>
      </c>
      <c r="B10" s="22"/>
      <c r="C10" s="21" t="s">
        <v>181</v>
      </c>
      <c r="D10" s="22"/>
      <c r="E10" s="21" t="s">
        <v>181</v>
      </c>
      <c r="F10" s="22"/>
      <c r="G10" s="21" t="s">
        <v>181</v>
      </c>
      <c r="H10" s="22"/>
      <c r="I10" s="21" t="s">
        <v>181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43</v>
      </c>
      <c r="B13" s="22"/>
      <c r="C13" s="30" t="s">
        <v>43</v>
      </c>
      <c r="D13" s="22"/>
      <c r="E13" s="30" t="s">
        <v>43</v>
      </c>
      <c r="F13" s="22"/>
      <c r="G13" s="30" t="s">
        <v>43</v>
      </c>
      <c r="H13" s="22"/>
      <c r="I13" s="30" t="s">
        <v>43</v>
      </c>
      <c r="J13" s="22"/>
      <c r="K13" s="30" t="s">
        <v>43</v>
      </c>
      <c r="L13" s="22"/>
      <c r="M13" s="30" t="s">
        <v>43</v>
      </c>
      <c r="N13" s="22"/>
    </row>
    <row r="14" spans="1:14" ht="18" customHeight="1">
      <c r="A14" s="61"/>
      <c r="B14" s="31"/>
      <c r="C14" s="61"/>
      <c r="D14" s="31"/>
      <c r="E14" s="61"/>
      <c r="F14" s="31"/>
      <c r="G14" s="61"/>
      <c r="H14" s="31"/>
      <c r="I14" s="61"/>
      <c r="J14" s="31"/>
      <c r="K14" s="61" t="s">
        <v>203</v>
      </c>
      <c r="L14" s="31"/>
      <c r="M14" s="61" t="s">
        <v>201</v>
      </c>
      <c r="N14" s="31"/>
    </row>
    <row r="15" spans="1:14" ht="18" customHeight="1">
      <c r="A15" s="2">
        <f>M6+1</f>
        <v>45964</v>
      </c>
      <c r="B15" s="3"/>
      <c r="C15" s="2">
        <f>A15+1</f>
        <v>45965</v>
      </c>
      <c r="D15" s="3"/>
      <c r="E15" s="2">
        <f>C15+1</f>
        <v>45966</v>
      </c>
      <c r="F15" s="3"/>
      <c r="G15" s="2">
        <f>E15+1</f>
        <v>45967</v>
      </c>
      <c r="H15" s="3"/>
      <c r="I15" s="2">
        <f>G15+1</f>
        <v>45968</v>
      </c>
      <c r="J15" s="3"/>
      <c r="K15" s="4">
        <f>I15+1</f>
        <v>45969</v>
      </c>
      <c r="L15" s="5"/>
      <c r="M15" s="4">
        <f>K15+1</f>
        <v>45970</v>
      </c>
      <c r="N15" s="5"/>
    </row>
    <row r="16" spans="1:14" ht="18" customHeight="1">
      <c r="A16" s="45" t="s">
        <v>174</v>
      </c>
      <c r="B16" s="46"/>
      <c r="C16" s="45" t="s">
        <v>174</v>
      </c>
      <c r="D16" s="46"/>
      <c r="E16" s="45" t="s">
        <v>174</v>
      </c>
      <c r="F16" s="46"/>
      <c r="G16" s="45" t="s">
        <v>174</v>
      </c>
      <c r="H16" s="46"/>
      <c r="I16" s="45" t="s">
        <v>174</v>
      </c>
      <c r="J16" s="46"/>
      <c r="K16" s="45" t="s">
        <v>174</v>
      </c>
      <c r="L16" s="46"/>
      <c r="M16" s="45" t="s">
        <v>174</v>
      </c>
      <c r="N16" s="46"/>
    </row>
    <row r="17" spans="1:14" ht="18" customHeight="1">
      <c r="A17" s="25" t="s">
        <v>208</v>
      </c>
      <c r="B17" s="43"/>
      <c r="C17" s="25" t="s">
        <v>208</v>
      </c>
      <c r="D17" s="43"/>
      <c r="E17" s="25" t="s">
        <v>208</v>
      </c>
      <c r="F17" s="43"/>
      <c r="G17" s="25" t="s">
        <v>208</v>
      </c>
      <c r="H17" s="43"/>
      <c r="I17" s="25" t="s">
        <v>208</v>
      </c>
      <c r="J17" s="43"/>
      <c r="K17" s="24"/>
      <c r="L17" s="22"/>
      <c r="M17" s="24"/>
      <c r="N17" s="22"/>
    </row>
    <row r="18" spans="1:14" ht="18" customHeight="1">
      <c r="A18" s="23" t="s">
        <v>178</v>
      </c>
      <c r="B18" s="22"/>
      <c r="C18" s="23" t="s">
        <v>178</v>
      </c>
      <c r="D18" s="22"/>
      <c r="E18" s="23" t="s">
        <v>178</v>
      </c>
      <c r="F18" s="22"/>
      <c r="G18" s="23" t="s">
        <v>178</v>
      </c>
      <c r="H18" s="22"/>
      <c r="I18" s="23" t="s">
        <v>228</v>
      </c>
      <c r="J18" s="22"/>
      <c r="K18" s="23" t="s">
        <v>200</v>
      </c>
      <c r="L18" s="22"/>
      <c r="M18" s="23" t="s">
        <v>200</v>
      </c>
      <c r="N18" s="22"/>
    </row>
    <row r="19" spans="1:14" ht="18" customHeight="1">
      <c r="A19" s="21" t="s">
        <v>196</v>
      </c>
      <c r="B19" s="22"/>
      <c r="C19" s="21" t="s">
        <v>196</v>
      </c>
      <c r="D19" s="22"/>
      <c r="E19" s="21" t="s">
        <v>196</v>
      </c>
      <c r="F19" s="22"/>
      <c r="G19" s="21" t="s">
        <v>196</v>
      </c>
      <c r="H19" s="22"/>
      <c r="I19" s="21" t="s">
        <v>196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191</v>
      </c>
      <c r="B22" s="22"/>
      <c r="C22" s="30" t="s">
        <v>191</v>
      </c>
      <c r="D22" s="22"/>
      <c r="E22" s="30" t="s">
        <v>191</v>
      </c>
      <c r="F22" s="22"/>
      <c r="G22" s="30" t="s">
        <v>191</v>
      </c>
      <c r="H22" s="22"/>
      <c r="I22" s="30" t="s">
        <v>191</v>
      </c>
      <c r="J22" s="22"/>
      <c r="K22" s="30" t="s">
        <v>191</v>
      </c>
      <c r="L22" s="22"/>
      <c r="M22" s="30" t="s">
        <v>191</v>
      </c>
      <c r="N22" s="22"/>
    </row>
    <row r="23" spans="1:14" ht="30" customHeight="1">
      <c r="A23" s="61" t="s">
        <v>183</v>
      </c>
      <c r="B23" s="31"/>
      <c r="C23" s="61" t="s">
        <v>211</v>
      </c>
      <c r="D23" s="31"/>
      <c r="E23" s="61" t="s">
        <v>193</v>
      </c>
      <c r="F23" s="31"/>
      <c r="G23" s="61" t="s">
        <v>204</v>
      </c>
      <c r="H23" s="31"/>
      <c r="I23" s="61" t="s">
        <v>202</v>
      </c>
      <c r="J23" s="31"/>
      <c r="K23" s="61" t="s">
        <v>202</v>
      </c>
      <c r="L23" s="31"/>
      <c r="M23" s="58" t="s">
        <v>229</v>
      </c>
      <c r="N23" s="31"/>
    </row>
    <row r="24" spans="1:14" ht="18" customHeight="1">
      <c r="A24" s="2">
        <f>M15+1</f>
        <v>45971</v>
      </c>
      <c r="B24" s="3"/>
      <c r="C24" s="2">
        <f>A24+1</f>
        <v>45972</v>
      </c>
      <c r="D24" s="3"/>
      <c r="E24" s="2">
        <f>C24+1</f>
        <v>45973</v>
      </c>
      <c r="F24" s="3"/>
      <c r="G24" s="2">
        <f>E24+1</f>
        <v>45974</v>
      </c>
      <c r="H24" s="3"/>
      <c r="I24" s="2">
        <f>G24+1</f>
        <v>45975</v>
      </c>
      <c r="J24" s="3"/>
      <c r="K24" s="4">
        <f>I24+1</f>
        <v>45976</v>
      </c>
      <c r="L24" s="5"/>
      <c r="M24" s="4">
        <f>K24+1</f>
        <v>45977</v>
      </c>
      <c r="N24" s="5"/>
    </row>
    <row r="25" spans="1:14" ht="26.25" customHeight="1">
      <c r="A25" s="26" t="s">
        <v>177</v>
      </c>
      <c r="B25" s="22"/>
      <c r="C25" s="26" t="s">
        <v>177</v>
      </c>
      <c r="D25" s="22"/>
      <c r="E25" s="26" t="s">
        <v>177</v>
      </c>
      <c r="F25" s="22"/>
      <c r="G25" s="55" t="s">
        <v>230</v>
      </c>
      <c r="H25" s="22"/>
      <c r="I25" s="26" t="s">
        <v>177</v>
      </c>
      <c r="J25" s="22"/>
      <c r="K25" s="26" t="s">
        <v>199</v>
      </c>
      <c r="L25" s="22"/>
      <c r="M25" s="26" t="s">
        <v>199</v>
      </c>
      <c r="N25" s="22"/>
    </row>
    <row r="26" spans="1:14" ht="18" customHeight="1">
      <c r="A26" s="25" t="s">
        <v>176</v>
      </c>
      <c r="B26" s="22"/>
      <c r="C26" s="25" t="s">
        <v>176</v>
      </c>
      <c r="D26" s="22"/>
      <c r="E26" s="25" t="s">
        <v>176</v>
      </c>
      <c r="F26" s="22"/>
      <c r="G26" s="25" t="s">
        <v>176</v>
      </c>
      <c r="H26" s="22"/>
      <c r="I26" s="25" t="s">
        <v>176</v>
      </c>
      <c r="J26" s="22"/>
      <c r="K26" s="24"/>
      <c r="L26" s="22"/>
      <c r="M26" s="24"/>
      <c r="N26" s="22"/>
    </row>
    <row r="27" spans="1:14" ht="18" customHeight="1">
      <c r="A27" s="23" t="s">
        <v>200</v>
      </c>
      <c r="B27" s="22"/>
      <c r="C27" s="23" t="s">
        <v>200</v>
      </c>
      <c r="D27" s="22"/>
      <c r="E27" s="23" t="s">
        <v>200</v>
      </c>
      <c r="F27" s="22"/>
      <c r="G27" s="23" t="s">
        <v>200</v>
      </c>
      <c r="H27" s="22"/>
      <c r="I27" s="23" t="s">
        <v>231</v>
      </c>
      <c r="J27" s="22"/>
      <c r="K27" s="23" t="s">
        <v>178</v>
      </c>
      <c r="L27" s="22"/>
      <c r="M27" s="23" t="s">
        <v>178</v>
      </c>
      <c r="N27" s="22"/>
    </row>
    <row r="28" spans="1:14" ht="18" customHeight="1">
      <c r="A28" s="21" t="s">
        <v>178</v>
      </c>
      <c r="B28" s="22"/>
      <c r="C28" s="21" t="s">
        <v>178</v>
      </c>
      <c r="D28" s="22"/>
      <c r="E28" s="21" t="s">
        <v>178</v>
      </c>
      <c r="F28" s="22"/>
      <c r="G28" s="21" t="s">
        <v>178</v>
      </c>
      <c r="H28" s="22"/>
      <c r="I28" s="21" t="s">
        <v>178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174</v>
      </c>
      <c r="B31" s="22"/>
      <c r="C31" s="30" t="s">
        <v>174</v>
      </c>
      <c r="D31" s="22"/>
      <c r="E31" s="30" t="s">
        <v>174</v>
      </c>
      <c r="F31" s="22"/>
      <c r="G31" s="30" t="s">
        <v>174</v>
      </c>
      <c r="H31" s="22"/>
      <c r="I31" s="30" t="s">
        <v>174</v>
      </c>
      <c r="J31" s="22"/>
      <c r="K31" s="30" t="s">
        <v>174</v>
      </c>
      <c r="L31" s="22"/>
      <c r="M31" s="30" t="s">
        <v>174</v>
      </c>
      <c r="N31" s="22"/>
    </row>
    <row r="32" spans="1:14" ht="18" customHeight="1">
      <c r="A32" s="61" t="s">
        <v>204</v>
      </c>
      <c r="B32" s="31"/>
      <c r="C32" s="61" t="s">
        <v>202</v>
      </c>
      <c r="D32" s="31"/>
      <c r="E32" s="61" t="s">
        <v>185</v>
      </c>
      <c r="F32" s="31"/>
      <c r="G32" s="61" t="s">
        <v>232</v>
      </c>
      <c r="H32" s="31"/>
      <c r="I32" s="61" t="s">
        <v>204</v>
      </c>
      <c r="J32" s="31"/>
      <c r="K32" s="61" t="s">
        <v>233</v>
      </c>
      <c r="L32" s="31"/>
      <c r="M32" s="61" t="s">
        <v>202</v>
      </c>
      <c r="N32" s="31"/>
    </row>
    <row r="33" spans="1:14" ht="18" customHeight="1">
      <c r="A33" s="2">
        <f>M24+1</f>
        <v>45978</v>
      </c>
      <c r="B33" s="3"/>
      <c r="C33" s="2">
        <f>A33+1</f>
        <v>45979</v>
      </c>
      <c r="D33" s="3"/>
      <c r="E33" s="2">
        <f>C33+1</f>
        <v>45980</v>
      </c>
      <c r="F33" s="3"/>
      <c r="G33" s="2">
        <f>E33+1</f>
        <v>45981</v>
      </c>
      <c r="H33" s="3"/>
      <c r="I33" s="2">
        <f>G33+1</f>
        <v>45982</v>
      </c>
      <c r="J33" s="3"/>
      <c r="K33" s="4">
        <f>I33+1</f>
        <v>45983</v>
      </c>
      <c r="L33" s="5"/>
      <c r="M33" s="4">
        <f>K33+1</f>
        <v>45984</v>
      </c>
      <c r="N33" s="5"/>
    </row>
    <row r="34" spans="1:14" ht="18" customHeight="1">
      <c r="A34" s="26" t="s">
        <v>219</v>
      </c>
      <c r="B34" s="22"/>
      <c r="C34" s="26" t="s">
        <v>219</v>
      </c>
      <c r="D34" s="22"/>
      <c r="E34" s="26" t="s">
        <v>219</v>
      </c>
      <c r="F34" s="22"/>
      <c r="G34" s="26" t="s">
        <v>219</v>
      </c>
      <c r="H34" s="22"/>
      <c r="I34" s="26" t="s">
        <v>219</v>
      </c>
      <c r="J34" s="22"/>
      <c r="K34" s="26" t="s">
        <v>219</v>
      </c>
      <c r="L34" s="22"/>
      <c r="M34" s="26" t="s">
        <v>219</v>
      </c>
      <c r="N34" s="22"/>
    </row>
    <row r="35" spans="1:14" ht="18" customHeight="1">
      <c r="A35" s="25" t="s">
        <v>186</v>
      </c>
      <c r="B35" s="22"/>
      <c r="C35" s="25" t="s">
        <v>186</v>
      </c>
      <c r="D35" s="22"/>
      <c r="E35" s="25" t="s">
        <v>186</v>
      </c>
      <c r="F35" s="22"/>
      <c r="G35" s="25" t="s">
        <v>186</v>
      </c>
      <c r="H35" s="22"/>
      <c r="I35" s="25" t="s">
        <v>186</v>
      </c>
      <c r="J35" s="22"/>
      <c r="K35" s="24"/>
      <c r="L35" s="22"/>
      <c r="M35" s="24"/>
      <c r="N35" s="22"/>
    </row>
    <row r="36" spans="1:14" ht="18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188</v>
      </c>
      <c r="J36" s="22"/>
      <c r="K36" s="23" t="s">
        <v>188</v>
      </c>
      <c r="L36" s="22"/>
      <c r="M36" s="23" t="s">
        <v>188</v>
      </c>
      <c r="N36" s="22"/>
    </row>
    <row r="37" spans="1:14" ht="18" customHeight="1">
      <c r="A37" s="21" t="s">
        <v>178</v>
      </c>
      <c r="B37" s="22"/>
      <c r="C37" s="21" t="s">
        <v>178</v>
      </c>
      <c r="D37" s="22"/>
      <c r="E37" s="21" t="s">
        <v>178</v>
      </c>
      <c r="F37" s="22"/>
      <c r="G37" s="21" t="s">
        <v>178</v>
      </c>
      <c r="H37" s="22"/>
      <c r="I37" s="21" t="s">
        <v>178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187</v>
      </c>
      <c r="B40" s="22"/>
      <c r="C40" s="30" t="s">
        <v>187</v>
      </c>
      <c r="D40" s="22"/>
      <c r="E40" s="30" t="s">
        <v>187</v>
      </c>
      <c r="F40" s="22"/>
      <c r="G40" s="30" t="s">
        <v>187</v>
      </c>
      <c r="H40" s="22"/>
      <c r="I40" s="30" t="s">
        <v>187</v>
      </c>
      <c r="J40" s="22"/>
      <c r="K40" s="30" t="s">
        <v>187</v>
      </c>
      <c r="L40" s="22"/>
      <c r="M40" s="30" t="s">
        <v>187</v>
      </c>
      <c r="N40" s="22"/>
    </row>
    <row r="41" spans="1:14" ht="18" customHeight="1">
      <c r="A41" s="61" t="s">
        <v>201</v>
      </c>
      <c r="B41" s="31"/>
      <c r="C41" s="61" t="s">
        <v>203</v>
      </c>
      <c r="D41" s="31"/>
      <c r="E41" s="61" t="s">
        <v>204</v>
      </c>
      <c r="F41" s="31"/>
      <c r="G41" s="61" t="s">
        <v>232</v>
      </c>
      <c r="H41" s="31"/>
      <c r="I41" s="61" t="s">
        <v>201</v>
      </c>
      <c r="J41" s="31"/>
      <c r="K41" s="61" t="s">
        <v>234</v>
      </c>
      <c r="L41" s="31"/>
      <c r="M41" s="61" t="s">
        <v>203</v>
      </c>
      <c r="N41" s="31"/>
    </row>
    <row r="42" spans="1:14" ht="18" customHeight="1">
      <c r="A42" s="2">
        <f>IF(M33="","",IF(MONTH(M33+1)&lt;&gt;MONTH($A$1),"",M33+1))</f>
        <v>45985</v>
      </c>
      <c r="B42" s="3"/>
      <c r="C42" s="2">
        <f>IF(A42="","",IF(MONTH(A42+1)&lt;&gt;MONTH($A$1),"",A42+1))</f>
        <v>45986</v>
      </c>
      <c r="D42" s="3"/>
      <c r="E42" s="2">
        <v>26</v>
      </c>
      <c r="F42" s="3"/>
      <c r="G42" s="2">
        <v>27</v>
      </c>
      <c r="H42" s="3" t="s">
        <v>235</v>
      </c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6" t="s">
        <v>192</v>
      </c>
      <c r="B43" s="22"/>
      <c r="C43" s="26" t="s">
        <v>192</v>
      </c>
      <c r="D43" s="22"/>
      <c r="E43" s="26" t="s">
        <v>192</v>
      </c>
      <c r="F43" s="22"/>
      <c r="G43" s="26" t="s">
        <v>192</v>
      </c>
      <c r="H43" s="22"/>
      <c r="I43" s="26" t="s">
        <v>236</v>
      </c>
      <c r="J43" s="22"/>
      <c r="K43" s="26" t="s">
        <v>195</v>
      </c>
      <c r="L43" s="22"/>
      <c r="M43" s="26" t="s">
        <v>195</v>
      </c>
      <c r="N43" s="22"/>
    </row>
    <row r="44" spans="1:14" ht="18" customHeight="1">
      <c r="A44" s="25" t="s">
        <v>207</v>
      </c>
      <c r="B44" s="22"/>
      <c r="C44" s="25" t="s">
        <v>207</v>
      </c>
      <c r="D44" s="22"/>
      <c r="E44" s="25" t="s">
        <v>207</v>
      </c>
      <c r="F44" s="22"/>
      <c r="G44" s="25"/>
      <c r="H44" s="22"/>
      <c r="I44" s="25" t="s">
        <v>207</v>
      </c>
      <c r="J44" s="22"/>
      <c r="K44" s="24"/>
      <c r="L44" s="22"/>
      <c r="M44" s="24"/>
      <c r="N44" s="22"/>
    </row>
    <row r="45" spans="1:14" ht="18" customHeight="1">
      <c r="A45" s="23" t="s">
        <v>181</v>
      </c>
      <c r="B45" s="22"/>
      <c r="C45" s="23" t="s">
        <v>181</v>
      </c>
      <c r="D45" s="22"/>
      <c r="E45" s="23" t="s">
        <v>181</v>
      </c>
      <c r="F45" s="22"/>
      <c r="G45" s="23" t="s">
        <v>181</v>
      </c>
      <c r="H45" s="22"/>
      <c r="I45" s="23" t="s">
        <v>181</v>
      </c>
      <c r="J45" s="22"/>
      <c r="K45" s="23" t="s">
        <v>181</v>
      </c>
      <c r="L45" s="22"/>
      <c r="M45" s="23" t="s">
        <v>181</v>
      </c>
      <c r="N45" s="22"/>
    </row>
    <row r="46" spans="1:14" ht="18" customHeight="1">
      <c r="A46" s="21" t="s">
        <v>188</v>
      </c>
      <c r="B46" s="22"/>
      <c r="C46" s="21" t="s">
        <v>188</v>
      </c>
      <c r="D46" s="22"/>
      <c r="E46" s="21" t="s">
        <v>188</v>
      </c>
      <c r="F46" s="22"/>
      <c r="G46" s="21"/>
      <c r="H46" s="22"/>
      <c r="I46" s="21" t="s">
        <v>188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177</v>
      </c>
      <c r="B49" s="22"/>
      <c r="C49" s="30" t="s">
        <v>177</v>
      </c>
      <c r="D49" s="22"/>
      <c r="E49" s="30" t="s">
        <v>177</v>
      </c>
      <c r="F49" s="22"/>
      <c r="G49" s="30" t="s">
        <v>177</v>
      </c>
      <c r="H49" s="22"/>
      <c r="I49" s="30" t="s">
        <v>177</v>
      </c>
      <c r="J49" s="22"/>
      <c r="K49" s="30" t="s">
        <v>177</v>
      </c>
      <c r="L49" s="22"/>
      <c r="M49" s="30" t="s">
        <v>177</v>
      </c>
      <c r="N49" s="22"/>
    </row>
    <row r="50" spans="1:14" ht="18" customHeight="1">
      <c r="A50" s="61" t="s">
        <v>183</v>
      </c>
      <c r="B50" s="31"/>
      <c r="C50" s="61" t="s">
        <v>202</v>
      </c>
      <c r="D50" s="31"/>
      <c r="E50" s="61" t="s">
        <v>204</v>
      </c>
      <c r="F50" s="31"/>
      <c r="G50" s="61" t="s">
        <v>232</v>
      </c>
      <c r="H50" s="31"/>
      <c r="I50" s="61" t="s">
        <v>203</v>
      </c>
      <c r="J50" s="31"/>
      <c r="K50" s="61" t="s">
        <v>203</v>
      </c>
      <c r="L50" s="31"/>
      <c r="M50" s="61" t="s">
        <v>202</v>
      </c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7" workbookViewId="0">
      <selection activeCell="M23" sqref="M23:N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EDATE('©'!A17,41)</f>
        <v>45992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DECEMBER 2025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45999</v>
      </c>
      <c r="B5" s="51"/>
      <c r="C5" s="50">
        <f>C15</f>
        <v>46000</v>
      </c>
      <c r="D5" s="51"/>
      <c r="E5" s="50">
        <f>E15</f>
        <v>46001</v>
      </c>
      <c r="F5" s="51"/>
      <c r="G5" s="50">
        <f>G15</f>
        <v>46002</v>
      </c>
      <c r="H5" s="51"/>
      <c r="I5" s="50">
        <f>I15</f>
        <v>46003</v>
      </c>
      <c r="J5" s="51"/>
      <c r="K5" s="50">
        <f>K15</f>
        <v>46004</v>
      </c>
      <c r="L5" s="51"/>
      <c r="M5" s="50">
        <f>M15</f>
        <v>46005</v>
      </c>
      <c r="N5" s="51"/>
    </row>
    <row r="6" spans="1:14" ht="18" customHeight="1">
      <c r="A6" s="2">
        <f>IF(WEEKDAY($A$1,1)=startday,$A$1,"")</f>
        <v>45992</v>
      </c>
      <c r="B6" s="3"/>
      <c r="C6" s="2">
        <f>IF(A6="",IF(WEEKDAY($A$1,1)=MOD(startday,7)+1,$A$1,""),A6+1)</f>
        <v>45993</v>
      </c>
      <c r="D6" s="3"/>
      <c r="E6" s="2">
        <f>IF(C6="",IF(WEEKDAY($A$1,1)=MOD(startday,7)+2,$A$1,""),C6+1)</f>
        <v>45994</v>
      </c>
      <c r="F6" s="3"/>
      <c r="G6" s="2">
        <f>IF(E6="",IF(WEEKDAY($A$1,1)=MOD(startday,7)+3,$A$1,""),E6+1)</f>
        <v>45995</v>
      </c>
      <c r="H6" s="3"/>
      <c r="I6" s="2">
        <f>IF(G6="",IF(WEEKDAY($A$1,1)=MOD(startday,7)+4,$A$1,""),G6+1)</f>
        <v>45996</v>
      </c>
      <c r="J6" s="3"/>
      <c r="K6" s="4">
        <f>IF(I6="",IF(WEEKDAY($A$1,1)=MOD(startday,7)+5,$A$1,""),I6+1)</f>
        <v>45997</v>
      </c>
      <c r="L6" s="5"/>
      <c r="M6" s="4">
        <f>IF(K6="",IF(WEEKDAY($A$1,1)=MOD(startday+5,7)+1,$A$1,""),K6+1)</f>
        <v>45998</v>
      </c>
      <c r="N6" s="5"/>
    </row>
    <row r="7" spans="1:14" ht="18" customHeight="1">
      <c r="A7" s="26" t="s">
        <v>190</v>
      </c>
      <c r="B7" s="22"/>
      <c r="C7" s="26" t="s">
        <v>190</v>
      </c>
      <c r="D7" s="22"/>
      <c r="E7" s="26" t="s">
        <v>190</v>
      </c>
      <c r="F7" s="22"/>
      <c r="G7" s="26" t="s">
        <v>190</v>
      </c>
      <c r="H7" s="22"/>
      <c r="I7" s="26" t="s">
        <v>190</v>
      </c>
      <c r="J7" s="22"/>
      <c r="K7" s="26" t="s">
        <v>190</v>
      </c>
      <c r="L7" s="22"/>
      <c r="M7" s="26" t="s">
        <v>190</v>
      </c>
      <c r="N7" s="22"/>
    </row>
    <row r="8" spans="1:14" ht="18" customHeight="1">
      <c r="A8" s="25" t="s">
        <v>186</v>
      </c>
      <c r="B8" s="22"/>
      <c r="C8" s="25" t="s">
        <v>186</v>
      </c>
      <c r="D8" s="22"/>
      <c r="E8" s="25" t="s">
        <v>186</v>
      </c>
      <c r="F8" s="22"/>
      <c r="G8" s="25" t="s">
        <v>186</v>
      </c>
      <c r="H8" s="22"/>
      <c r="I8" s="25" t="s">
        <v>186</v>
      </c>
      <c r="J8" s="22"/>
      <c r="K8" s="25"/>
      <c r="L8" s="22"/>
      <c r="M8" s="25"/>
      <c r="N8" s="22"/>
    </row>
    <row r="9" spans="1:14" ht="18" customHeight="1">
      <c r="A9" s="23" t="s">
        <v>196</v>
      </c>
      <c r="B9" s="22"/>
      <c r="C9" s="23" t="s">
        <v>196</v>
      </c>
      <c r="D9" s="22"/>
      <c r="E9" s="23" t="s">
        <v>196</v>
      </c>
      <c r="F9" s="22"/>
      <c r="G9" s="23" t="s">
        <v>196</v>
      </c>
      <c r="H9" s="22"/>
      <c r="I9" s="23" t="s">
        <v>196</v>
      </c>
      <c r="J9" s="22"/>
      <c r="K9" s="23" t="s">
        <v>196</v>
      </c>
      <c r="L9" s="22"/>
      <c r="M9" s="23" t="s">
        <v>196</v>
      </c>
      <c r="N9" s="22"/>
    </row>
    <row r="10" spans="1:14" ht="18" customHeight="1">
      <c r="A10" s="21" t="s">
        <v>188</v>
      </c>
      <c r="B10" s="22"/>
      <c r="C10" s="21" t="s">
        <v>188</v>
      </c>
      <c r="D10" s="22"/>
      <c r="E10" s="21" t="s">
        <v>188</v>
      </c>
      <c r="F10" s="22"/>
      <c r="G10" s="21" t="s">
        <v>188</v>
      </c>
      <c r="H10" s="22"/>
      <c r="I10" s="21" t="s">
        <v>188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207</v>
      </c>
      <c r="B13" s="22"/>
      <c r="C13" s="30" t="s">
        <v>207</v>
      </c>
      <c r="D13" s="22"/>
      <c r="E13" s="30" t="s">
        <v>207</v>
      </c>
      <c r="F13" s="22"/>
      <c r="G13" s="30" t="s">
        <v>207</v>
      </c>
      <c r="H13" s="22"/>
      <c r="I13" s="30" t="s">
        <v>207</v>
      </c>
      <c r="J13" s="22"/>
      <c r="K13" s="30" t="s">
        <v>207</v>
      </c>
      <c r="L13" s="22"/>
      <c r="M13" s="30" t="s">
        <v>207</v>
      </c>
      <c r="N13" s="22"/>
    </row>
    <row r="14" spans="1:14" ht="18" customHeight="1">
      <c r="A14" s="61" t="s">
        <v>201</v>
      </c>
      <c r="B14" s="31"/>
      <c r="C14" s="61" t="s">
        <v>203</v>
      </c>
      <c r="D14" s="31"/>
      <c r="E14" s="61" t="s">
        <v>237</v>
      </c>
      <c r="F14" s="31"/>
      <c r="G14" s="61" t="s">
        <v>214</v>
      </c>
      <c r="H14" s="31"/>
      <c r="I14" s="61" t="s">
        <v>183</v>
      </c>
      <c r="J14" s="31"/>
      <c r="K14" s="61" t="s">
        <v>238</v>
      </c>
      <c r="L14" s="31"/>
      <c r="M14" s="61" t="s">
        <v>202</v>
      </c>
      <c r="N14" s="31"/>
    </row>
    <row r="15" spans="1:14" ht="18" customHeight="1">
      <c r="A15" s="2">
        <f>M6+1</f>
        <v>45999</v>
      </c>
      <c r="B15" s="3"/>
      <c r="C15" s="2">
        <f>A15+1</f>
        <v>46000</v>
      </c>
      <c r="D15" s="3"/>
      <c r="E15" s="2">
        <f>C15+1</f>
        <v>46001</v>
      </c>
      <c r="F15" s="3"/>
      <c r="G15" s="2">
        <f>E15+1</f>
        <v>46002</v>
      </c>
      <c r="H15" s="3"/>
      <c r="I15" s="2">
        <f>G15+1</f>
        <v>46003</v>
      </c>
      <c r="J15" s="3"/>
      <c r="K15" s="4">
        <f>I15+1</f>
        <v>46004</v>
      </c>
      <c r="L15" s="5"/>
      <c r="M15" s="4">
        <f>K15+1</f>
        <v>46005</v>
      </c>
      <c r="N15" s="5"/>
    </row>
    <row r="16" spans="1:14" ht="18" customHeight="1">
      <c r="A16" s="45" t="s">
        <v>176</v>
      </c>
      <c r="B16" s="46"/>
      <c r="C16" s="45" t="s">
        <v>176</v>
      </c>
      <c r="D16" s="46"/>
      <c r="E16" s="45" t="s">
        <v>176</v>
      </c>
      <c r="F16" s="46"/>
      <c r="G16" s="45" t="s">
        <v>176</v>
      </c>
      <c r="H16" s="46"/>
      <c r="I16" s="45" t="s">
        <v>176</v>
      </c>
      <c r="J16" s="46"/>
      <c r="K16" s="45" t="s">
        <v>176</v>
      </c>
      <c r="L16" s="46"/>
      <c r="M16" s="45" t="s">
        <v>176</v>
      </c>
      <c r="N16" s="46"/>
    </row>
    <row r="17" spans="1:14" ht="18" customHeight="1">
      <c r="A17" s="25" t="s">
        <v>199</v>
      </c>
      <c r="B17" s="43"/>
      <c r="C17" s="25" t="s">
        <v>199</v>
      </c>
      <c r="D17" s="43"/>
      <c r="E17" s="25" t="s">
        <v>199</v>
      </c>
      <c r="F17" s="43"/>
      <c r="G17" s="25" t="s">
        <v>199</v>
      </c>
      <c r="H17" s="43"/>
      <c r="I17" s="25" t="s">
        <v>199</v>
      </c>
      <c r="J17" s="43"/>
      <c r="K17" s="24"/>
      <c r="L17" s="22"/>
      <c r="M17" s="24"/>
      <c r="N17" s="22"/>
    </row>
    <row r="18" spans="1:14" ht="18" customHeight="1">
      <c r="A18" s="23" t="s">
        <v>177</v>
      </c>
      <c r="B18" s="22"/>
      <c r="C18" s="23" t="s">
        <v>177</v>
      </c>
      <c r="D18" s="22"/>
      <c r="E18" s="23" t="s">
        <v>177</v>
      </c>
      <c r="F18" s="22"/>
      <c r="G18" s="23" t="s">
        <v>177</v>
      </c>
      <c r="H18" s="22"/>
      <c r="I18" s="23" t="s">
        <v>177</v>
      </c>
      <c r="J18" s="22"/>
      <c r="K18" s="23" t="s">
        <v>177</v>
      </c>
      <c r="L18" s="22"/>
      <c r="M18" s="23" t="s">
        <v>177</v>
      </c>
      <c r="N18" s="22"/>
    </row>
    <row r="19" spans="1:14" ht="18" customHeight="1">
      <c r="A19" s="21" t="s">
        <v>188</v>
      </c>
      <c r="B19" s="22"/>
      <c r="C19" s="21" t="s">
        <v>188</v>
      </c>
      <c r="D19" s="22"/>
      <c r="E19" s="21" t="s">
        <v>188</v>
      </c>
      <c r="F19" s="22"/>
      <c r="G19" s="21" t="s">
        <v>188</v>
      </c>
      <c r="H19" s="22"/>
      <c r="I19" s="21" t="s">
        <v>188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190</v>
      </c>
      <c r="B22" s="22"/>
      <c r="C22" s="30" t="s">
        <v>190</v>
      </c>
      <c r="D22" s="22"/>
      <c r="E22" s="30" t="s">
        <v>190</v>
      </c>
      <c r="F22" s="22"/>
      <c r="G22" s="30" t="s">
        <v>190</v>
      </c>
      <c r="H22" s="22"/>
      <c r="I22" s="30" t="s">
        <v>190</v>
      </c>
      <c r="J22" s="22"/>
      <c r="K22" s="30" t="s">
        <v>190</v>
      </c>
      <c r="L22" s="22"/>
      <c r="M22" s="30" t="s">
        <v>190</v>
      </c>
      <c r="N22" s="22"/>
    </row>
    <row r="23" spans="1:14" ht="18" customHeight="1">
      <c r="A23" s="61" t="s">
        <v>214</v>
      </c>
      <c r="B23" s="31"/>
      <c r="C23" s="61" t="s">
        <v>203</v>
      </c>
      <c r="D23" s="31"/>
      <c r="E23" s="61" t="s">
        <v>204</v>
      </c>
      <c r="F23" s="31"/>
      <c r="G23" s="61" t="s">
        <v>214</v>
      </c>
      <c r="H23" s="31"/>
      <c r="I23" s="61" t="s">
        <v>202</v>
      </c>
      <c r="J23" s="31"/>
      <c r="K23" s="61" t="s">
        <v>239</v>
      </c>
      <c r="L23" s="31"/>
      <c r="M23" s="61" t="s">
        <v>201</v>
      </c>
      <c r="N23" s="31"/>
    </row>
    <row r="24" spans="1:14" ht="18" customHeight="1">
      <c r="A24" s="2">
        <f>M15+1</f>
        <v>46006</v>
      </c>
      <c r="B24" s="3"/>
      <c r="C24" s="2">
        <f>A24+1</f>
        <v>46007</v>
      </c>
      <c r="D24" s="3"/>
      <c r="E24" s="2">
        <f>C24+1</f>
        <v>46008</v>
      </c>
      <c r="F24" s="3"/>
      <c r="G24" s="2">
        <f>E24+1</f>
        <v>46009</v>
      </c>
      <c r="H24" s="3"/>
      <c r="I24" s="2">
        <f>G24+1</f>
        <v>46010</v>
      </c>
      <c r="J24" s="3"/>
      <c r="K24" s="4">
        <f>I24+1</f>
        <v>46011</v>
      </c>
      <c r="L24" s="5"/>
      <c r="M24" s="4">
        <f>K24+1</f>
        <v>46012</v>
      </c>
      <c r="N24" s="5"/>
    </row>
    <row r="25" spans="1:14" ht="18" customHeight="1">
      <c r="A25" s="26" t="s">
        <v>207</v>
      </c>
      <c r="B25" s="22"/>
      <c r="C25" s="26" t="s">
        <v>207</v>
      </c>
      <c r="D25" s="22"/>
      <c r="E25" s="26" t="s">
        <v>207</v>
      </c>
      <c r="F25" s="22"/>
      <c r="G25" s="26" t="s">
        <v>207</v>
      </c>
      <c r="H25" s="22"/>
      <c r="I25" s="26" t="s">
        <v>207</v>
      </c>
      <c r="J25" s="22"/>
      <c r="K25" s="26" t="s">
        <v>207</v>
      </c>
      <c r="L25" s="22"/>
      <c r="M25" s="26" t="s">
        <v>207</v>
      </c>
      <c r="N25" s="22"/>
    </row>
    <row r="26" spans="1:14" ht="18" customHeight="1">
      <c r="A26" s="25" t="s">
        <v>176</v>
      </c>
      <c r="B26" s="22"/>
      <c r="C26" s="25" t="s">
        <v>176</v>
      </c>
      <c r="D26" s="22"/>
      <c r="E26" s="25" t="s">
        <v>176</v>
      </c>
      <c r="F26" s="22"/>
      <c r="G26" s="25" t="s">
        <v>176</v>
      </c>
      <c r="H26" s="22"/>
      <c r="I26" s="25" t="s">
        <v>176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191</v>
      </c>
      <c r="L27" s="22"/>
      <c r="M27" s="23" t="s">
        <v>191</v>
      </c>
      <c r="N27" s="22"/>
    </row>
    <row r="28" spans="1:14" ht="18" customHeight="1">
      <c r="A28" s="21" t="s">
        <v>178</v>
      </c>
      <c r="B28" s="22"/>
      <c r="C28" s="21" t="s">
        <v>178</v>
      </c>
      <c r="D28" s="22"/>
      <c r="E28" s="21" t="s">
        <v>178</v>
      </c>
      <c r="F28" s="22"/>
      <c r="G28" s="21" t="s">
        <v>178</v>
      </c>
      <c r="H28" s="22"/>
      <c r="I28" s="21" t="s">
        <v>178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219</v>
      </c>
      <c r="B31" s="22"/>
      <c r="C31" s="30" t="s">
        <v>219</v>
      </c>
      <c r="D31" s="22"/>
      <c r="E31" s="30" t="s">
        <v>219</v>
      </c>
      <c r="F31" s="22"/>
      <c r="G31" s="30" t="s">
        <v>219</v>
      </c>
      <c r="H31" s="22"/>
      <c r="I31" s="30" t="s">
        <v>219</v>
      </c>
      <c r="J31" s="22"/>
      <c r="K31" s="30" t="s">
        <v>219</v>
      </c>
      <c r="L31" s="22"/>
      <c r="M31" s="30" t="s">
        <v>219</v>
      </c>
      <c r="N31" s="22"/>
    </row>
    <row r="32" spans="1:14" ht="18" customHeight="1">
      <c r="A32" s="61" t="s">
        <v>204</v>
      </c>
      <c r="B32" s="31"/>
      <c r="C32" s="61" t="s">
        <v>240</v>
      </c>
      <c r="D32" s="31"/>
      <c r="E32" s="61" t="s">
        <v>202</v>
      </c>
      <c r="F32" s="31"/>
      <c r="G32" s="61" t="s">
        <v>240</v>
      </c>
      <c r="H32" s="31"/>
      <c r="I32" s="61" t="s">
        <v>204</v>
      </c>
      <c r="J32" s="31"/>
      <c r="K32" s="61" t="s">
        <v>241</v>
      </c>
      <c r="L32" s="31"/>
      <c r="M32" s="61" t="s">
        <v>203</v>
      </c>
      <c r="N32" s="31"/>
    </row>
    <row r="33" spans="1:14" ht="18" customHeight="1">
      <c r="A33" s="2">
        <f>M24+1</f>
        <v>46013</v>
      </c>
      <c r="B33" s="3"/>
      <c r="C33" s="2">
        <f>A33+1</f>
        <v>46014</v>
      </c>
      <c r="D33" s="3"/>
      <c r="E33" s="2">
        <f>C33+1</f>
        <v>46015</v>
      </c>
      <c r="F33" s="3"/>
      <c r="G33" s="2">
        <f>E33+1</f>
        <v>46016</v>
      </c>
      <c r="H33" s="3" t="s">
        <v>242</v>
      </c>
      <c r="I33" s="2">
        <f>G33+1</f>
        <v>46017</v>
      </c>
      <c r="J33" s="3"/>
      <c r="K33" s="4">
        <f>I33+1</f>
        <v>46018</v>
      </c>
      <c r="L33" s="5"/>
      <c r="M33" s="4">
        <f>K33+1</f>
        <v>46019</v>
      </c>
      <c r="N33" s="5"/>
    </row>
    <row r="34" spans="1:14" ht="18" customHeight="1">
      <c r="A34" s="26" t="s">
        <v>186</v>
      </c>
      <c r="B34" s="22"/>
      <c r="C34" s="26" t="s">
        <v>186</v>
      </c>
      <c r="D34" s="22"/>
      <c r="E34" s="26" t="s">
        <v>186</v>
      </c>
      <c r="F34" s="22"/>
      <c r="G34" s="26" t="s">
        <v>186</v>
      </c>
      <c r="H34" s="22"/>
      <c r="I34" s="26" t="s">
        <v>186</v>
      </c>
      <c r="J34" s="22"/>
      <c r="K34" s="26" t="s">
        <v>186</v>
      </c>
      <c r="L34" s="22"/>
      <c r="M34" s="26" t="s">
        <v>186</v>
      </c>
      <c r="N34" s="22"/>
    </row>
    <row r="35" spans="1:14" ht="18" customHeight="1">
      <c r="A35" s="25" t="s">
        <v>187</v>
      </c>
      <c r="B35" s="22"/>
      <c r="C35" s="25" t="s">
        <v>187</v>
      </c>
      <c r="D35" s="22"/>
      <c r="E35" s="25" t="s">
        <v>187</v>
      </c>
      <c r="F35" s="22"/>
      <c r="G35" s="25"/>
      <c r="H35" s="22"/>
      <c r="I35" s="25" t="s">
        <v>187</v>
      </c>
      <c r="J35" s="22"/>
      <c r="K35" s="24"/>
      <c r="L35" s="22"/>
      <c r="M35" s="24"/>
      <c r="N35" s="22"/>
    </row>
    <row r="36" spans="1:14" ht="18" customHeight="1">
      <c r="A36" s="23" t="s">
        <v>209</v>
      </c>
      <c r="B36" s="22"/>
      <c r="C36" s="23" t="s">
        <v>209</v>
      </c>
      <c r="D36" s="22"/>
      <c r="E36" s="23" t="s">
        <v>209</v>
      </c>
      <c r="F36" s="22"/>
      <c r="G36" s="23" t="s">
        <v>209</v>
      </c>
      <c r="H36" s="22"/>
      <c r="I36" s="23" t="s">
        <v>209</v>
      </c>
      <c r="J36" s="22"/>
      <c r="K36" s="23" t="s">
        <v>209</v>
      </c>
      <c r="L36" s="22"/>
      <c r="M36" s="23" t="s">
        <v>209</v>
      </c>
      <c r="N36" s="22"/>
    </row>
    <row r="37" spans="1:14" ht="18" customHeight="1">
      <c r="A37" s="21" t="s">
        <v>181</v>
      </c>
      <c r="B37" s="22"/>
      <c r="C37" s="21" t="s">
        <v>181</v>
      </c>
      <c r="D37" s="22"/>
      <c r="E37" s="21" t="s">
        <v>181</v>
      </c>
      <c r="F37" s="22"/>
      <c r="G37" s="21"/>
      <c r="H37" s="22"/>
      <c r="I37" s="21" t="s">
        <v>181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199</v>
      </c>
      <c r="B40" s="22"/>
      <c r="C40" s="30" t="s">
        <v>199</v>
      </c>
      <c r="D40" s="22"/>
      <c r="E40" s="30" t="s">
        <v>199</v>
      </c>
      <c r="F40" s="22"/>
      <c r="G40" s="30" t="s">
        <v>199</v>
      </c>
      <c r="H40" s="22"/>
      <c r="I40" s="30" t="s">
        <v>199</v>
      </c>
      <c r="J40" s="22"/>
      <c r="K40" s="30" t="s">
        <v>199</v>
      </c>
      <c r="L40" s="22"/>
      <c r="M40" s="30" t="s">
        <v>199</v>
      </c>
      <c r="N40" s="22"/>
    </row>
    <row r="41" spans="1:14" ht="18" customHeight="1">
      <c r="A41" s="61" t="s">
        <v>243</v>
      </c>
      <c r="B41" s="31"/>
      <c r="C41" s="61" t="s">
        <v>243</v>
      </c>
      <c r="D41" s="31"/>
      <c r="E41" s="61" t="s">
        <v>244</v>
      </c>
      <c r="F41" s="31"/>
      <c r="G41" s="61" t="s">
        <v>244</v>
      </c>
      <c r="H41" s="31"/>
      <c r="I41" s="61" t="s">
        <v>245</v>
      </c>
      <c r="J41" s="31"/>
      <c r="K41" s="61" t="s">
        <v>245</v>
      </c>
      <c r="L41" s="31"/>
      <c r="M41" s="61" t="s">
        <v>183</v>
      </c>
      <c r="N41" s="31"/>
    </row>
    <row r="42" spans="1:14" ht="18" customHeight="1">
      <c r="A42" s="2">
        <f>IF(M33="","",IF(MONTH(M33+1)&lt;&gt;MONTH($A$1),"",M33+1))</f>
        <v>46020</v>
      </c>
      <c r="B42" s="3"/>
      <c r="C42" s="2">
        <f>IF(A42="","",IF(MONTH(A42+1)&lt;&gt;MONTH($A$1),"",A42+1))</f>
        <v>46021</v>
      </c>
      <c r="D42" s="3"/>
      <c r="E42" s="2">
        <v>31</v>
      </c>
      <c r="F42" s="3"/>
      <c r="G42" s="2">
        <v>1</v>
      </c>
      <c r="H42" s="3" t="s">
        <v>246</v>
      </c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6" t="s">
        <v>174</v>
      </c>
      <c r="B43" s="22"/>
      <c r="C43" s="26" t="s">
        <v>174</v>
      </c>
      <c r="D43" s="22"/>
      <c r="E43" s="26" t="s">
        <v>174</v>
      </c>
      <c r="F43" s="22"/>
      <c r="G43" s="26" t="s">
        <v>174</v>
      </c>
      <c r="H43" s="22"/>
      <c r="I43" s="26" t="s">
        <v>174</v>
      </c>
      <c r="J43" s="22"/>
      <c r="K43" s="26" t="s">
        <v>174</v>
      </c>
      <c r="L43" s="22"/>
      <c r="M43" s="26" t="s">
        <v>174</v>
      </c>
      <c r="N43" s="22"/>
    </row>
    <row r="44" spans="1:14" ht="18" customHeight="1">
      <c r="A44" s="25" t="s">
        <v>192</v>
      </c>
      <c r="B44" s="22"/>
      <c r="C44" s="25" t="s">
        <v>192</v>
      </c>
      <c r="D44" s="22"/>
      <c r="E44" s="25" t="s">
        <v>192</v>
      </c>
      <c r="F44" s="22"/>
      <c r="G44" s="25"/>
      <c r="H44" s="22"/>
      <c r="I44" s="25" t="s">
        <v>192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21" t="s">
        <v>196</v>
      </c>
      <c r="B46" s="22"/>
      <c r="C46" s="21" t="s">
        <v>196</v>
      </c>
      <c r="D46" s="22"/>
      <c r="E46" s="21" t="s">
        <v>196</v>
      </c>
      <c r="F46" s="22"/>
      <c r="G46" s="21"/>
      <c r="H46" s="22"/>
      <c r="I46" s="21" t="s">
        <v>196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208</v>
      </c>
      <c r="B49" s="22"/>
      <c r="C49" s="30" t="s">
        <v>208</v>
      </c>
      <c r="D49" s="22"/>
      <c r="E49" s="30" t="s">
        <v>208</v>
      </c>
      <c r="F49" s="22"/>
      <c r="G49" s="30" t="s">
        <v>208</v>
      </c>
      <c r="H49" s="22"/>
      <c r="I49" s="30" t="s">
        <v>208</v>
      </c>
      <c r="J49" s="22"/>
      <c r="K49" s="30" t="s">
        <v>208</v>
      </c>
      <c r="L49" s="22"/>
      <c r="M49" s="30" t="s">
        <v>208</v>
      </c>
      <c r="N49" s="22"/>
    </row>
    <row r="50" spans="1:14" ht="32.450000000000003" customHeight="1">
      <c r="A50" s="61" t="s">
        <v>183</v>
      </c>
      <c r="B50" s="31"/>
      <c r="C50" s="61" t="s">
        <v>202</v>
      </c>
      <c r="D50" s="31"/>
      <c r="E50" s="61" t="s">
        <v>202</v>
      </c>
      <c r="F50" s="31"/>
      <c r="G50" s="61"/>
      <c r="H50" s="31"/>
      <c r="I50" s="58"/>
      <c r="J50" s="31"/>
      <c r="K50" s="61"/>
      <c r="L50" s="31"/>
      <c r="M50" s="61"/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25" workbookViewId="0">
      <selection activeCell="O41" sqref="O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EDATE('©'!A17,42)</f>
        <v>46023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JANUARY 2026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46027</v>
      </c>
      <c r="B5" s="51"/>
      <c r="C5" s="50">
        <f>C15</f>
        <v>46028</v>
      </c>
      <c r="D5" s="51"/>
      <c r="E5" s="50">
        <f>E15</f>
        <v>46029</v>
      </c>
      <c r="F5" s="51"/>
      <c r="G5" s="50">
        <f>G15</f>
        <v>46030</v>
      </c>
      <c r="H5" s="51"/>
      <c r="I5" s="50">
        <f>I15</f>
        <v>46031</v>
      </c>
      <c r="J5" s="51"/>
      <c r="K5" s="50">
        <f>K15</f>
        <v>46032</v>
      </c>
      <c r="L5" s="51"/>
      <c r="M5" s="50">
        <f>M15</f>
        <v>46033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46023</v>
      </c>
      <c r="H6" s="3"/>
      <c r="I6" s="2">
        <f>IF(G6="",IF(WEEKDAY($A$1,1)=MOD(startday,7)+4,$A$1,""),G6+1)</f>
        <v>46024</v>
      </c>
      <c r="J6" s="3"/>
      <c r="K6" s="4">
        <f>IF(I6="",IF(WEEKDAY($A$1,1)=MOD(startday,7)+5,$A$1,""),I6+1)</f>
        <v>46025</v>
      </c>
      <c r="L6" s="5"/>
      <c r="M6" s="4">
        <f>IF(K6="",IF(WEEKDAY($A$1,1)=MOD(startday+5,7)+1,$A$1,""),K6+1)</f>
        <v>46026</v>
      </c>
      <c r="N6" s="5"/>
    </row>
    <row r="7" spans="1:14" ht="18" customHeight="1">
      <c r="A7" s="26" t="s">
        <v>174</v>
      </c>
      <c r="B7" s="22"/>
      <c r="C7" s="26" t="s">
        <v>174</v>
      </c>
      <c r="D7" s="22"/>
      <c r="E7" s="26" t="s">
        <v>174</v>
      </c>
      <c r="F7" s="22"/>
      <c r="G7" s="26" t="s">
        <v>174</v>
      </c>
      <c r="H7" s="22"/>
      <c r="I7" s="26" t="s">
        <v>174</v>
      </c>
      <c r="J7" s="22"/>
      <c r="K7" s="26" t="s">
        <v>174</v>
      </c>
      <c r="L7" s="22"/>
      <c r="M7" s="26" t="s">
        <v>174</v>
      </c>
      <c r="N7" s="22"/>
    </row>
    <row r="8" spans="1:14" ht="18" customHeight="1">
      <c r="A8" s="25" t="s">
        <v>192</v>
      </c>
      <c r="B8" s="22"/>
      <c r="C8" s="25" t="s">
        <v>192</v>
      </c>
      <c r="D8" s="22"/>
      <c r="E8" s="25" t="s">
        <v>192</v>
      </c>
      <c r="F8" s="22"/>
      <c r="G8" s="25"/>
      <c r="H8" s="22"/>
      <c r="I8" s="25" t="s">
        <v>192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21" t="s">
        <v>196</v>
      </c>
      <c r="B10" s="22"/>
      <c r="C10" s="21" t="s">
        <v>196</v>
      </c>
      <c r="D10" s="22"/>
      <c r="E10" s="21" t="s">
        <v>196</v>
      </c>
      <c r="F10" s="22"/>
      <c r="G10" s="21" t="s">
        <v>196</v>
      </c>
      <c r="H10" s="22"/>
      <c r="I10" s="21" t="s">
        <v>196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208</v>
      </c>
      <c r="B13" s="22"/>
      <c r="C13" s="30" t="s">
        <v>208</v>
      </c>
      <c r="D13" s="22"/>
      <c r="E13" s="30" t="s">
        <v>208</v>
      </c>
      <c r="F13" s="22"/>
      <c r="G13" s="30" t="s">
        <v>208</v>
      </c>
      <c r="H13" s="22"/>
      <c r="I13" s="30" t="s">
        <v>208</v>
      </c>
      <c r="J13" s="22"/>
      <c r="K13" s="30" t="s">
        <v>208</v>
      </c>
      <c r="L13" s="22"/>
      <c r="M13" s="30" t="s">
        <v>208</v>
      </c>
      <c r="N13" s="22"/>
    </row>
    <row r="14" spans="1:14" ht="36" customHeight="1">
      <c r="A14" s="61"/>
      <c r="B14" s="31"/>
      <c r="C14" s="61"/>
      <c r="D14" s="31"/>
      <c r="E14" s="61"/>
      <c r="F14" s="31"/>
      <c r="G14" s="61" t="s">
        <v>201</v>
      </c>
      <c r="H14" s="31"/>
      <c r="I14" s="58" t="s">
        <v>247</v>
      </c>
      <c r="J14" s="31"/>
      <c r="K14" s="58" t="s">
        <v>248</v>
      </c>
      <c r="L14" s="31"/>
      <c r="M14" s="61" t="s">
        <v>185</v>
      </c>
      <c r="N14" s="31"/>
    </row>
    <row r="15" spans="1:14" ht="18" customHeight="1">
      <c r="A15" s="2">
        <f>M6+1</f>
        <v>46027</v>
      </c>
      <c r="B15" s="3"/>
      <c r="C15" s="2">
        <f>A15+1</f>
        <v>46028</v>
      </c>
      <c r="D15" s="3"/>
      <c r="E15" s="2">
        <f>C15+1</f>
        <v>46029</v>
      </c>
      <c r="F15" s="3"/>
      <c r="G15" s="2">
        <f>E15+1</f>
        <v>46030</v>
      </c>
      <c r="H15" s="3"/>
      <c r="I15" s="2">
        <f>G15+1</f>
        <v>46031</v>
      </c>
      <c r="J15" s="3"/>
      <c r="K15" s="4">
        <f>I15+1</f>
        <v>46032</v>
      </c>
      <c r="L15" s="5"/>
      <c r="M15" s="4">
        <f>K15+1</f>
        <v>46033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5" t="s">
        <v>207</v>
      </c>
      <c r="B17" s="43"/>
      <c r="C17" s="25" t="s">
        <v>207</v>
      </c>
      <c r="D17" s="43"/>
      <c r="E17" s="25" t="s">
        <v>207</v>
      </c>
      <c r="F17" s="43"/>
      <c r="G17" s="25" t="s">
        <v>207</v>
      </c>
      <c r="H17" s="43"/>
      <c r="I17" s="25" t="s">
        <v>207</v>
      </c>
      <c r="J17" s="43"/>
      <c r="K17" s="24"/>
      <c r="L17" s="22"/>
      <c r="M17" s="24"/>
      <c r="N17" s="22"/>
    </row>
    <row r="18" spans="1:14" ht="18" customHeight="1">
      <c r="A18" s="23" t="s">
        <v>181</v>
      </c>
      <c r="B18" s="22"/>
      <c r="C18" s="23" t="s">
        <v>181</v>
      </c>
      <c r="D18" s="22"/>
      <c r="E18" s="23" t="s">
        <v>181</v>
      </c>
      <c r="F18" s="22"/>
      <c r="G18" s="23" t="s">
        <v>181</v>
      </c>
      <c r="H18" s="22"/>
      <c r="I18" s="23" t="s">
        <v>181</v>
      </c>
      <c r="J18" s="22"/>
      <c r="K18" s="23" t="s">
        <v>181</v>
      </c>
      <c r="L18" s="22"/>
      <c r="M18" s="23" t="s">
        <v>181</v>
      </c>
      <c r="N18" s="22"/>
    </row>
    <row r="19" spans="1:14" ht="18" customHeight="1">
      <c r="A19" s="21" t="s">
        <v>188</v>
      </c>
      <c r="B19" s="22"/>
      <c r="C19" s="21" t="s">
        <v>188</v>
      </c>
      <c r="D19" s="22"/>
      <c r="E19" s="21" t="s">
        <v>188</v>
      </c>
      <c r="F19" s="22"/>
      <c r="G19" s="21" t="s">
        <v>188</v>
      </c>
      <c r="H19" s="22"/>
      <c r="I19" s="21" t="s">
        <v>188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186</v>
      </c>
      <c r="B22" s="22"/>
      <c r="C22" s="30" t="s">
        <v>186</v>
      </c>
      <c r="D22" s="22"/>
      <c r="E22" s="30" t="s">
        <v>186</v>
      </c>
      <c r="F22" s="22"/>
      <c r="G22" s="30" t="s">
        <v>186</v>
      </c>
      <c r="H22" s="22"/>
      <c r="I22" s="30" t="s">
        <v>186</v>
      </c>
      <c r="J22" s="22"/>
      <c r="K22" s="30" t="s">
        <v>186</v>
      </c>
      <c r="L22" s="22"/>
      <c r="M22" s="30" t="s">
        <v>186</v>
      </c>
      <c r="N22" s="22"/>
    </row>
    <row r="23" spans="1:14" ht="18" customHeight="1">
      <c r="A23" s="61" t="s">
        <v>240</v>
      </c>
      <c r="B23" s="31"/>
      <c r="C23" s="61" t="s">
        <v>202</v>
      </c>
      <c r="D23" s="31"/>
      <c r="E23" s="61" t="s">
        <v>183</v>
      </c>
      <c r="F23" s="31"/>
      <c r="G23" s="61" t="s">
        <v>240</v>
      </c>
      <c r="H23" s="31"/>
      <c r="I23" s="61" t="s">
        <v>201</v>
      </c>
      <c r="J23" s="31"/>
      <c r="K23" s="61" t="s">
        <v>201</v>
      </c>
      <c r="L23" s="31"/>
      <c r="M23" s="61" t="s">
        <v>202</v>
      </c>
      <c r="N23" s="31"/>
    </row>
    <row r="24" spans="1:14" ht="18" customHeight="1">
      <c r="A24" s="2">
        <f>M15+1</f>
        <v>46034</v>
      </c>
      <c r="B24" s="3"/>
      <c r="C24" s="2">
        <f>A24+1</f>
        <v>46035</v>
      </c>
      <c r="D24" s="3"/>
      <c r="E24" s="2">
        <f>C24+1</f>
        <v>46036</v>
      </c>
      <c r="F24" s="3"/>
      <c r="G24" s="2">
        <f>E24+1</f>
        <v>46037</v>
      </c>
      <c r="H24" s="3"/>
      <c r="I24" s="2">
        <f>G24+1</f>
        <v>46038</v>
      </c>
      <c r="J24" s="3"/>
      <c r="K24" s="4">
        <f>I24+1</f>
        <v>46039</v>
      </c>
      <c r="L24" s="5"/>
      <c r="M24" s="4">
        <f>K24+1</f>
        <v>46040</v>
      </c>
      <c r="N24" s="5"/>
    </row>
    <row r="25" spans="1:14" ht="18" customHeight="1">
      <c r="A25" s="26" t="s">
        <v>174</v>
      </c>
      <c r="B25" s="22"/>
      <c r="C25" s="26" t="s">
        <v>174</v>
      </c>
      <c r="D25" s="22"/>
      <c r="E25" s="26" t="s">
        <v>174</v>
      </c>
      <c r="F25" s="22"/>
      <c r="G25" s="26" t="s">
        <v>174</v>
      </c>
      <c r="H25" s="22"/>
      <c r="I25" s="26" t="s">
        <v>174</v>
      </c>
      <c r="J25" s="22"/>
      <c r="K25" s="26" t="s">
        <v>174</v>
      </c>
      <c r="L25" s="22"/>
      <c r="M25" s="26" t="s">
        <v>174</v>
      </c>
      <c r="N25" s="22"/>
    </row>
    <row r="26" spans="1:14" ht="18" customHeight="1">
      <c r="A26" s="25" t="s">
        <v>208</v>
      </c>
      <c r="B26" s="22"/>
      <c r="C26" s="25" t="s">
        <v>208</v>
      </c>
      <c r="D26" s="22"/>
      <c r="E26" s="25" t="s">
        <v>208</v>
      </c>
      <c r="F26" s="22"/>
      <c r="G26" s="25" t="s">
        <v>208</v>
      </c>
      <c r="H26" s="22"/>
      <c r="I26" s="25" t="s">
        <v>208</v>
      </c>
      <c r="J26" s="22"/>
      <c r="K26" s="24"/>
      <c r="L26" s="22"/>
      <c r="M26" s="24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21" t="s">
        <v>200</v>
      </c>
      <c r="B28" s="22"/>
      <c r="C28" s="21" t="s">
        <v>200</v>
      </c>
      <c r="D28" s="22"/>
      <c r="E28" s="21" t="s">
        <v>200</v>
      </c>
      <c r="F28" s="22"/>
      <c r="G28" s="21" t="s">
        <v>200</v>
      </c>
      <c r="H28" s="22"/>
      <c r="I28" s="21" t="s">
        <v>200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192</v>
      </c>
      <c r="B31" s="22"/>
      <c r="C31" s="30" t="s">
        <v>192</v>
      </c>
      <c r="D31" s="22"/>
      <c r="E31" s="30" t="s">
        <v>192</v>
      </c>
      <c r="F31" s="22"/>
      <c r="G31" s="30" t="s">
        <v>192</v>
      </c>
      <c r="H31" s="22"/>
      <c r="I31" s="30" t="s">
        <v>192</v>
      </c>
      <c r="J31" s="22"/>
      <c r="K31" s="30" t="s">
        <v>192</v>
      </c>
      <c r="L31" s="22"/>
      <c r="M31" s="30" t="s">
        <v>192</v>
      </c>
      <c r="N31" s="22"/>
    </row>
    <row r="32" spans="1:14" ht="18" customHeight="1">
      <c r="A32" s="61" t="s">
        <v>203</v>
      </c>
      <c r="B32" s="31"/>
      <c r="C32" s="61" t="s">
        <v>201</v>
      </c>
      <c r="D32" s="31"/>
      <c r="E32" s="61" t="s">
        <v>183</v>
      </c>
      <c r="F32" s="31"/>
      <c r="G32" s="61" t="s">
        <v>211</v>
      </c>
      <c r="H32" s="31"/>
      <c r="I32" s="61" t="s">
        <v>203</v>
      </c>
      <c r="J32" s="31"/>
      <c r="K32" s="61" t="s">
        <v>203</v>
      </c>
      <c r="L32" s="31"/>
      <c r="M32" s="61" t="s">
        <v>201</v>
      </c>
      <c r="N32" s="31"/>
    </row>
    <row r="33" spans="1:14" ht="18" customHeight="1">
      <c r="A33" s="2">
        <f>M24+1</f>
        <v>46041</v>
      </c>
      <c r="B33" s="3" t="s">
        <v>249</v>
      </c>
      <c r="C33" s="2">
        <f>A33+1</f>
        <v>46042</v>
      </c>
      <c r="D33" s="3"/>
      <c r="E33" s="2">
        <f>C33+1</f>
        <v>46043</v>
      </c>
      <c r="F33" s="3"/>
      <c r="G33" s="2">
        <f>E33+1</f>
        <v>46044</v>
      </c>
      <c r="H33" s="3"/>
      <c r="I33" s="2">
        <f>G33+1</f>
        <v>46045</v>
      </c>
      <c r="J33" s="3"/>
      <c r="K33" s="4">
        <f>I33+1</f>
        <v>46046</v>
      </c>
      <c r="L33" s="5"/>
      <c r="M33" s="4">
        <f>K33+1</f>
        <v>46047</v>
      </c>
      <c r="N33" s="5"/>
    </row>
    <row r="34" spans="1:14" ht="18" customHeight="1">
      <c r="A34" s="26" t="s">
        <v>174</v>
      </c>
      <c r="B34" s="22"/>
      <c r="C34" s="26" t="s">
        <v>208</v>
      </c>
      <c r="D34" s="22"/>
      <c r="E34" s="26" t="s">
        <v>208</v>
      </c>
      <c r="F34" s="22"/>
      <c r="G34" s="26" t="s">
        <v>208</v>
      </c>
      <c r="H34" s="22"/>
      <c r="I34" s="26" t="s">
        <v>208</v>
      </c>
      <c r="J34" s="22"/>
      <c r="K34" s="26" t="s">
        <v>208</v>
      </c>
      <c r="L34" s="22"/>
      <c r="M34" s="26" t="s">
        <v>208</v>
      </c>
      <c r="N34" s="22"/>
    </row>
    <row r="35" spans="1:14" ht="18" customHeight="1">
      <c r="A35" s="25"/>
      <c r="B35" s="22"/>
      <c r="C35" s="25" t="s">
        <v>186</v>
      </c>
      <c r="D35" s="22"/>
      <c r="E35" s="25" t="s">
        <v>186</v>
      </c>
      <c r="F35" s="22"/>
      <c r="G35" s="25" t="s">
        <v>186</v>
      </c>
      <c r="H35" s="22"/>
      <c r="I35" s="25" t="s">
        <v>186</v>
      </c>
      <c r="J35" s="22"/>
      <c r="K35" s="24"/>
      <c r="L35" s="22"/>
      <c r="M35" s="24"/>
      <c r="N35" s="22"/>
    </row>
    <row r="36" spans="1:14" ht="18" customHeight="1">
      <c r="A36" s="23" t="s">
        <v>200</v>
      </c>
      <c r="B36" s="22"/>
      <c r="C36" s="23" t="s">
        <v>200</v>
      </c>
      <c r="D36" s="22"/>
      <c r="E36" s="23" t="s">
        <v>200</v>
      </c>
      <c r="F36" s="22"/>
      <c r="G36" s="23" t="s">
        <v>200</v>
      </c>
      <c r="H36" s="22"/>
      <c r="I36" s="23" t="s">
        <v>200</v>
      </c>
      <c r="J36" s="22"/>
      <c r="K36" s="23" t="s">
        <v>200</v>
      </c>
      <c r="L36" s="22"/>
      <c r="M36" s="23" t="s">
        <v>200</v>
      </c>
      <c r="N36" s="22"/>
    </row>
    <row r="37" spans="1:14" ht="18" customHeight="1">
      <c r="A37" s="21" t="s">
        <v>178</v>
      </c>
      <c r="B37" s="22"/>
      <c r="C37" s="21" t="s">
        <v>178</v>
      </c>
      <c r="D37" s="22"/>
      <c r="E37" s="21" t="s">
        <v>178</v>
      </c>
      <c r="F37" s="22"/>
      <c r="G37" s="21" t="s">
        <v>178</v>
      </c>
      <c r="H37" s="22"/>
      <c r="I37" s="21" t="s">
        <v>189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176</v>
      </c>
      <c r="B40" s="22"/>
      <c r="C40" s="30" t="s">
        <v>176</v>
      </c>
      <c r="D40" s="22"/>
      <c r="E40" s="30" t="s">
        <v>176</v>
      </c>
      <c r="F40" s="22"/>
      <c r="G40" s="30" t="s">
        <v>176</v>
      </c>
      <c r="H40" s="22"/>
      <c r="I40" s="30" t="s">
        <v>176</v>
      </c>
      <c r="J40" s="22"/>
      <c r="K40" s="30" t="s">
        <v>176</v>
      </c>
      <c r="L40" s="22"/>
      <c r="M40" s="30" t="s">
        <v>176</v>
      </c>
      <c r="N40" s="22"/>
    </row>
    <row r="41" spans="1:14" ht="18" customHeight="1">
      <c r="A41" s="61" t="s">
        <v>202</v>
      </c>
      <c r="B41" s="31"/>
      <c r="C41" s="61" t="s">
        <v>203</v>
      </c>
      <c r="D41" s="31"/>
      <c r="E41" s="61" t="s">
        <v>204</v>
      </c>
      <c r="F41" s="31"/>
      <c r="G41" s="61" t="s">
        <v>201</v>
      </c>
      <c r="H41" s="31"/>
      <c r="I41" s="61" t="s">
        <v>202</v>
      </c>
      <c r="J41" s="31"/>
      <c r="K41" s="61" t="s">
        <v>202</v>
      </c>
      <c r="L41" s="31"/>
      <c r="M41" s="61" t="s">
        <v>185</v>
      </c>
      <c r="N41" s="31"/>
    </row>
    <row r="42" spans="1:14" ht="18" customHeight="1">
      <c r="A42" s="2">
        <f>IF(M33="","",IF(MONTH(M33+1)&lt;&gt;MONTH($A$1),"",M33+1))</f>
        <v>46048</v>
      </c>
      <c r="B42" s="3"/>
      <c r="C42" s="2">
        <f>IF(A42="","",IF(MONTH(A42+1)&lt;&gt;MONTH($A$1),"",A42+1))</f>
        <v>46049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26" t="s">
        <v>187</v>
      </c>
      <c r="B43" s="22"/>
      <c r="C43" s="26" t="s">
        <v>187</v>
      </c>
      <c r="D43" s="22"/>
      <c r="E43" s="26" t="s">
        <v>187</v>
      </c>
      <c r="F43" s="22"/>
      <c r="G43" s="26" t="s">
        <v>187</v>
      </c>
      <c r="H43" s="22"/>
      <c r="I43" s="26" t="s">
        <v>250</v>
      </c>
      <c r="J43" s="22"/>
      <c r="K43" s="26" t="s">
        <v>195</v>
      </c>
      <c r="L43" s="22"/>
      <c r="M43" s="26" t="s">
        <v>195</v>
      </c>
      <c r="N43" s="22"/>
    </row>
    <row r="44" spans="1:14" ht="18" customHeight="1">
      <c r="A44" s="25" t="s">
        <v>207</v>
      </c>
      <c r="B44" s="22"/>
      <c r="C44" s="25" t="s">
        <v>207</v>
      </c>
      <c r="D44" s="22"/>
      <c r="E44" s="25" t="s">
        <v>207</v>
      </c>
      <c r="F44" s="22"/>
      <c r="G44" s="25" t="s">
        <v>207</v>
      </c>
      <c r="H44" s="22"/>
      <c r="I44" s="25" t="s">
        <v>207</v>
      </c>
      <c r="J44" s="22"/>
      <c r="K44" s="24"/>
      <c r="L44" s="22"/>
      <c r="M44" s="24"/>
      <c r="N44" s="22"/>
    </row>
    <row r="45" spans="1:14" ht="18" customHeight="1">
      <c r="A45" s="23" t="s">
        <v>200</v>
      </c>
      <c r="B45" s="22"/>
      <c r="C45" s="23" t="s">
        <v>209</v>
      </c>
      <c r="D45" s="22"/>
      <c r="E45" s="23" t="s">
        <v>178</v>
      </c>
      <c r="F45" s="22"/>
      <c r="G45" s="23" t="s">
        <v>181</v>
      </c>
      <c r="H45" s="22"/>
      <c r="I45" s="23" t="s">
        <v>189</v>
      </c>
      <c r="J45" s="22"/>
      <c r="K45" s="23" t="s">
        <v>196</v>
      </c>
      <c r="L45" s="22"/>
      <c r="M45" s="23" t="s">
        <v>196</v>
      </c>
      <c r="N45" s="22"/>
    </row>
    <row r="46" spans="1:14" ht="18" customHeight="1">
      <c r="A46" s="21" t="s">
        <v>196</v>
      </c>
      <c r="B46" s="22"/>
      <c r="C46" s="21" t="s">
        <v>196</v>
      </c>
      <c r="D46" s="22"/>
      <c r="E46" s="21" t="s">
        <v>196</v>
      </c>
      <c r="F46" s="22"/>
      <c r="G46" s="21" t="s">
        <v>196</v>
      </c>
      <c r="H46" s="22"/>
      <c r="I46" s="21" t="s">
        <v>196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195</v>
      </c>
      <c r="B49" s="22"/>
      <c r="C49" s="30" t="s">
        <v>195</v>
      </c>
      <c r="D49" s="22"/>
      <c r="E49" s="30" t="s">
        <v>195</v>
      </c>
      <c r="F49" s="22"/>
      <c r="G49" s="30" t="s">
        <v>195</v>
      </c>
      <c r="H49" s="22"/>
      <c r="I49" s="30" t="s">
        <v>195</v>
      </c>
      <c r="J49" s="22"/>
      <c r="K49" s="30" t="s">
        <v>195</v>
      </c>
      <c r="L49" s="22"/>
      <c r="M49" s="30" t="s">
        <v>195</v>
      </c>
      <c r="N49" s="22"/>
    </row>
    <row r="50" spans="1:14" ht="18" customHeight="1">
      <c r="A50" s="61" t="s">
        <v>251</v>
      </c>
      <c r="B50" s="31"/>
      <c r="C50" s="61" t="s">
        <v>204</v>
      </c>
      <c r="D50" s="31"/>
      <c r="E50" s="61" t="s">
        <v>183</v>
      </c>
      <c r="F50" s="31"/>
      <c r="G50" s="61" t="s">
        <v>252</v>
      </c>
      <c r="H50" s="31"/>
      <c r="I50" s="61" t="s">
        <v>204</v>
      </c>
      <c r="J50" s="31"/>
      <c r="K50" s="61" t="s">
        <v>253</v>
      </c>
      <c r="L50" s="31"/>
      <c r="M50" s="61"/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7" workbookViewId="0">
      <selection activeCell="R40" sqref="R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EDATE('©'!A17,43)</f>
        <v>46054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FEBRUARY 2026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46055</v>
      </c>
      <c r="B5" s="51"/>
      <c r="C5" s="50">
        <f>C15</f>
        <v>46056</v>
      </c>
      <c r="D5" s="51"/>
      <c r="E5" s="50">
        <f>E15</f>
        <v>46057</v>
      </c>
      <c r="F5" s="51"/>
      <c r="G5" s="50">
        <f>G15</f>
        <v>46058</v>
      </c>
      <c r="H5" s="51"/>
      <c r="I5" s="50">
        <f>I15</f>
        <v>46059</v>
      </c>
      <c r="J5" s="51"/>
      <c r="K5" s="50">
        <f>K15</f>
        <v>46060</v>
      </c>
      <c r="L5" s="51"/>
      <c r="M5" s="50">
        <f>M15</f>
        <v>46061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46054</v>
      </c>
      <c r="N6" s="5"/>
    </row>
    <row r="7" spans="1:14" ht="18" customHeight="1">
      <c r="A7" s="26" t="s">
        <v>187</v>
      </c>
      <c r="B7" s="22"/>
      <c r="C7" s="26" t="s">
        <v>187</v>
      </c>
      <c r="D7" s="22"/>
      <c r="E7" s="26" t="s">
        <v>187</v>
      </c>
      <c r="F7" s="22"/>
      <c r="G7" s="26" t="s">
        <v>187</v>
      </c>
      <c r="H7" s="22"/>
      <c r="I7" s="26" t="s">
        <v>254</v>
      </c>
      <c r="J7" s="22"/>
      <c r="K7" s="26" t="s">
        <v>195</v>
      </c>
      <c r="L7" s="22"/>
      <c r="M7" s="26" t="s">
        <v>195</v>
      </c>
      <c r="N7" s="22"/>
    </row>
    <row r="8" spans="1:14" ht="18" customHeight="1">
      <c r="A8" s="25" t="s">
        <v>207</v>
      </c>
      <c r="B8" s="22"/>
      <c r="C8" s="25" t="s">
        <v>207</v>
      </c>
      <c r="D8" s="22"/>
      <c r="E8" s="25" t="s">
        <v>207</v>
      </c>
      <c r="F8" s="22"/>
      <c r="G8" s="25" t="s">
        <v>207</v>
      </c>
      <c r="H8" s="22"/>
      <c r="I8" s="25" t="s">
        <v>207</v>
      </c>
      <c r="J8" s="22"/>
      <c r="K8" s="24"/>
      <c r="L8" s="22"/>
      <c r="M8" s="24"/>
      <c r="N8" s="22"/>
    </row>
    <row r="9" spans="1:14" ht="18" customHeight="1">
      <c r="A9" s="23" t="s">
        <v>177</v>
      </c>
      <c r="B9" s="22"/>
      <c r="C9" s="23" t="s">
        <v>177</v>
      </c>
      <c r="D9" s="22"/>
      <c r="E9" s="23" t="s">
        <v>177</v>
      </c>
      <c r="F9" s="22"/>
      <c r="G9" s="23" t="s">
        <v>177</v>
      </c>
      <c r="H9" s="22"/>
      <c r="I9" s="23" t="s">
        <v>177</v>
      </c>
      <c r="J9" s="22"/>
      <c r="K9" s="23" t="s">
        <v>177</v>
      </c>
      <c r="L9" s="22"/>
      <c r="M9" s="23" t="s">
        <v>177</v>
      </c>
      <c r="N9" s="22"/>
    </row>
    <row r="10" spans="1:14" ht="18" customHeight="1">
      <c r="A10" s="21" t="s">
        <v>196</v>
      </c>
      <c r="B10" s="22"/>
      <c r="C10" s="21" t="s">
        <v>196</v>
      </c>
      <c r="D10" s="22"/>
      <c r="E10" s="21" t="s">
        <v>196</v>
      </c>
      <c r="F10" s="22"/>
      <c r="G10" s="21" t="s">
        <v>196</v>
      </c>
      <c r="H10" s="22"/>
      <c r="I10" s="21" t="s">
        <v>196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195</v>
      </c>
      <c r="B13" s="22"/>
      <c r="C13" s="30" t="s">
        <v>195</v>
      </c>
      <c r="D13" s="22"/>
      <c r="E13" s="30" t="s">
        <v>195</v>
      </c>
      <c r="F13" s="22"/>
      <c r="G13" s="30" t="s">
        <v>195</v>
      </c>
      <c r="H13" s="22"/>
      <c r="I13" s="30" t="s">
        <v>195</v>
      </c>
      <c r="J13" s="22"/>
      <c r="K13" s="30" t="s">
        <v>195</v>
      </c>
      <c r="L13" s="22"/>
      <c r="M13" s="30" t="s">
        <v>195</v>
      </c>
      <c r="N13" s="22"/>
    </row>
    <row r="14" spans="1:14" ht="18" customHeight="1">
      <c r="A14" s="61"/>
      <c r="B14" s="31"/>
      <c r="C14" s="61"/>
      <c r="D14" s="31"/>
      <c r="E14" s="61"/>
      <c r="F14" s="31"/>
      <c r="G14" s="61"/>
      <c r="H14" s="31"/>
      <c r="I14" s="61"/>
      <c r="J14" s="31"/>
      <c r="K14" s="61"/>
      <c r="L14" s="31"/>
      <c r="M14" s="61" t="s">
        <v>203</v>
      </c>
      <c r="N14" s="31"/>
    </row>
    <row r="15" spans="1:14" ht="18" customHeight="1">
      <c r="A15" s="2">
        <f>M6+1</f>
        <v>46055</v>
      </c>
      <c r="B15" s="3"/>
      <c r="C15" s="2">
        <f>A15+1</f>
        <v>46056</v>
      </c>
      <c r="D15" s="3"/>
      <c r="E15" s="2">
        <f>C15+1</f>
        <v>46057</v>
      </c>
      <c r="F15" s="3"/>
      <c r="G15" s="2">
        <f>E15+1</f>
        <v>46058</v>
      </c>
      <c r="H15" s="3"/>
      <c r="I15" s="2">
        <f>G15+1</f>
        <v>46059</v>
      </c>
      <c r="J15" s="3"/>
      <c r="K15" s="4">
        <f>I15+1</f>
        <v>46060</v>
      </c>
      <c r="L15" s="5"/>
      <c r="M15" s="4">
        <f>K15+1</f>
        <v>46061</v>
      </c>
      <c r="N15" s="5"/>
    </row>
    <row r="16" spans="1:14" ht="18" customHeight="1">
      <c r="A16" s="45" t="s">
        <v>195</v>
      </c>
      <c r="B16" s="46"/>
      <c r="C16" s="45" t="s">
        <v>195</v>
      </c>
      <c r="D16" s="46"/>
      <c r="E16" s="45" t="s">
        <v>195</v>
      </c>
      <c r="F16" s="46"/>
      <c r="G16" s="45" t="s">
        <v>195</v>
      </c>
      <c r="H16" s="46"/>
      <c r="I16" s="45" t="s">
        <v>255</v>
      </c>
      <c r="J16" s="46"/>
      <c r="K16" s="45" t="s">
        <v>219</v>
      </c>
      <c r="L16" s="46"/>
      <c r="M16" s="45" t="s">
        <v>256</v>
      </c>
      <c r="N16" s="46"/>
    </row>
    <row r="17" spans="1:14" ht="18" customHeight="1">
      <c r="A17" s="25" t="s">
        <v>174</v>
      </c>
      <c r="B17" s="43"/>
      <c r="C17" s="25" t="s">
        <v>174</v>
      </c>
      <c r="D17" s="43"/>
      <c r="E17" s="25" t="s">
        <v>174</v>
      </c>
      <c r="F17" s="43"/>
      <c r="G17" s="25" t="s">
        <v>174</v>
      </c>
      <c r="H17" s="43"/>
      <c r="I17" s="25" t="s">
        <v>174</v>
      </c>
      <c r="J17" s="43"/>
      <c r="K17" s="24"/>
      <c r="L17" s="22"/>
      <c r="M17" s="24"/>
      <c r="N17" s="22"/>
    </row>
    <row r="18" spans="1:14" ht="18" customHeight="1">
      <c r="A18" s="23" t="s">
        <v>196</v>
      </c>
      <c r="B18" s="22"/>
      <c r="C18" s="23" t="s">
        <v>196</v>
      </c>
      <c r="D18" s="22"/>
      <c r="E18" s="23" t="s">
        <v>196</v>
      </c>
      <c r="F18" s="22"/>
      <c r="G18" s="23" t="s">
        <v>196</v>
      </c>
      <c r="H18" s="22"/>
      <c r="I18" s="23" t="s">
        <v>196</v>
      </c>
      <c r="J18" s="22"/>
      <c r="K18" s="23" t="s">
        <v>196</v>
      </c>
      <c r="L18" s="22"/>
      <c r="M18" s="23" t="s">
        <v>196</v>
      </c>
      <c r="N18" s="22"/>
    </row>
    <row r="19" spans="1:14" ht="18" customHeight="1">
      <c r="A19" s="21" t="s">
        <v>200</v>
      </c>
      <c r="B19" s="22"/>
      <c r="C19" s="21" t="s">
        <v>200</v>
      </c>
      <c r="D19" s="22"/>
      <c r="E19" s="21" t="s">
        <v>200</v>
      </c>
      <c r="F19" s="22"/>
      <c r="G19" s="21" t="s">
        <v>200</v>
      </c>
      <c r="H19" s="22"/>
      <c r="I19" s="21" t="s">
        <v>200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43</v>
      </c>
      <c r="B22" s="22"/>
      <c r="C22" s="30" t="s">
        <v>43</v>
      </c>
      <c r="D22" s="22"/>
      <c r="E22" s="30" t="s">
        <v>43</v>
      </c>
      <c r="F22" s="22"/>
      <c r="G22" s="30" t="s">
        <v>43</v>
      </c>
      <c r="H22" s="22"/>
      <c r="I22" s="30" t="s">
        <v>43</v>
      </c>
      <c r="J22" s="22"/>
      <c r="K22" s="30" t="s">
        <v>43</v>
      </c>
      <c r="L22" s="22"/>
      <c r="M22" s="30" t="s">
        <v>43</v>
      </c>
      <c r="N22" s="22"/>
    </row>
    <row r="23" spans="1:14" ht="18" customHeight="1">
      <c r="A23" s="61" t="s">
        <v>183</v>
      </c>
      <c r="B23" s="31"/>
      <c r="C23" s="61" t="s">
        <v>211</v>
      </c>
      <c r="D23" s="31"/>
      <c r="E23" s="61" t="s">
        <v>203</v>
      </c>
      <c r="F23" s="31"/>
      <c r="G23" s="61" t="s">
        <v>252</v>
      </c>
      <c r="H23" s="31"/>
      <c r="I23" s="61" t="s">
        <v>257</v>
      </c>
      <c r="J23" s="31"/>
      <c r="K23" s="61" t="s">
        <v>258</v>
      </c>
      <c r="L23" s="31"/>
      <c r="M23" s="61" t="s">
        <v>185</v>
      </c>
      <c r="N23" s="31"/>
    </row>
    <row r="24" spans="1:14" ht="18" customHeight="1">
      <c r="A24" s="2">
        <f>M15+1</f>
        <v>46062</v>
      </c>
      <c r="B24" s="3"/>
      <c r="C24" s="2">
        <f>A24+1</f>
        <v>46063</v>
      </c>
      <c r="D24" s="3"/>
      <c r="E24" s="2">
        <f>C24+1</f>
        <v>46064</v>
      </c>
      <c r="F24" s="3"/>
      <c r="G24" s="2">
        <f>E24+1</f>
        <v>46065</v>
      </c>
      <c r="H24" s="3"/>
      <c r="I24" s="2">
        <f>G24+1</f>
        <v>46066</v>
      </c>
      <c r="J24" s="3"/>
      <c r="K24" s="4">
        <f>I24+1</f>
        <v>46067</v>
      </c>
      <c r="L24" s="5"/>
      <c r="M24" s="4">
        <f>K24+1</f>
        <v>46068</v>
      </c>
      <c r="N24" s="5"/>
    </row>
    <row r="25" spans="1:14" ht="18" customHeight="1">
      <c r="A25" s="26" t="s">
        <v>219</v>
      </c>
      <c r="B25" s="22"/>
      <c r="C25" s="26" t="s">
        <v>219</v>
      </c>
      <c r="D25" s="22"/>
      <c r="E25" s="26" t="s">
        <v>219</v>
      </c>
      <c r="F25" s="22"/>
      <c r="G25" s="26" t="s">
        <v>219</v>
      </c>
      <c r="H25" s="22"/>
      <c r="I25" s="26" t="s">
        <v>259</v>
      </c>
      <c r="J25" s="22"/>
      <c r="K25" s="26" t="s">
        <v>187</v>
      </c>
      <c r="L25" s="22"/>
      <c r="M25" s="26" t="s">
        <v>187</v>
      </c>
      <c r="N25" s="22"/>
    </row>
    <row r="26" spans="1:14" ht="18" customHeight="1">
      <c r="A26" s="25" t="s">
        <v>186</v>
      </c>
      <c r="B26" s="22"/>
      <c r="C26" s="25" t="s">
        <v>186</v>
      </c>
      <c r="D26" s="22"/>
      <c r="E26" s="25" t="s">
        <v>186</v>
      </c>
      <c r="F26" s="22"/>
      <c r="G26" s="25" t="s">
        <v>186</v>
      </c>
      <c r="H26" s="22"/>
      <c r="I26" s="25" t="s">
        <v>186</v>
      </c>
      <c r="J26" s="22"/>
      <c r="K26" s="24"/>
      <c r="L26" s="22"/>
      <c r="M26" s="24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21" t="s">
        <v>178</v>
      </c>
      <c r="B28" s="22"/>
      <c r="C28" s="21" t="s">
        <v>178</v>
      </c>
      <c r="D28" s="22"/>
      <c r="E28" s="21" t="s">
        <v>178</v>
      </c>
      <c r="F28" s="22"/>
      <c r="G28" s="21" t="s">
        <v>178</v>
      </c>
      <c r="H28" s="22"/>
      <c r="I28" s="21" t="s">
        <v>178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191</v>
      </c>
      <c r="B31" s="22"/>
      <c r="C31" s="30" t="s">
        <v>191</v>
      </c>
      <c r="D31" s="22"/>
      <c r="E31" s="30" t="s">
        <v>191</v>
      </c>
      <c r="F31" s="22"/>
      <c r="G31" s="30" t="s">
        <v>191</v>
      </c>
      <c r="H31" s="22"/>
      <c r="I31" s="30" t="s">
        <v>191</v>
      </c>
      <c r="J31" s="22"/>
      <c r="K31" s="30" t="s">
        <v>191</v>
      </c>
      <c r="L31" s="22"/>
      <c r="M31" s="30" t="s">
        <v>191</v>
      </c>
      <c r="N31" s="22"/>
    </row>
    <row r="32" spans="1:14" ht="18" customHeight="1">
      <c r="A32" s="61" t="s">
        <v>260</v>
      </c>
      <c r="B32" s="31"/>
      <c r="C32" s="61" t="s">
        <v>204</v>
      </c>
      <c r="D32" s="31"/>
      <c r="E32" s="61" t="s">
        <v>252</v>
      </c>
      <c r="F32" s="31"/>
      <c r="G32" s="61" t="s">
        <v>201</v>
      </c>
      <c r="H32" s="31"/>
      <c r="I32" s="61" t="s">
        <v>203</v>
      </c>
      <c r="J32" s="31"/>
      <c r="K32" s="61" t="s">
        <v>261</v>
      </c>
      <c r="L32" s="31"/>
      <c r="M32" s="61" t="s">
        <v>201</v>
      </c>
      <c r="N32" s="31"/>
    </row>
    <row r="33" spans="1:14" ht="18" customHeight="1">
      <c r="A33" s="2">
        <f>M24+1</f>
        <v>46069</v>
      </c>
      <c r="B33" s="3"/>
      <c r="C33" s="2">
        <f>A33+1</f>
        <v>46070</v>
      </c>
      <c r="D33" s="3"/>
      <c r="E33" s="2">
        <f>C33+1</f>
        <v>46071</v>
      </c>
      <c r="F33" s="3"/>
      <c r="G33" s="2">
        <f>E33+1</f>
        <v>46072</v>
      </c>
      <c r="H33" s="3"/>
      <c r="I33" s="2">
        <f>G33+1</f>
        <v>46073</v>
      </c>
      <c r="J33" s="3"/>
      <c r="K33" s="4">
        <f>I33+1</f>
        <v>46074</v>
      </c>
      <c r="L33" s="5"/>
      <c r="M33" s="4">
        <f>K33+1</f>
        <v>46075</v>
      </c>
      <c r="N33" s="5"/>
    </row>
    <row r="34" spans="1:14" ht="18" customHeight="1">
      <c r="A34" s="26" t="s">
        <v>186</v>
      </c>
      <c r="B34" s="22"/>
      <c r="C34" s="26" t="s">
        <v>186</v>
      </c>
      <c r="D34" s="22"/>
      <c r="E34" s="26" t="s">
        <v>186</v>
      </c>
      <c r="F34" s="22"/>
      <c r="G34" s="26" t="s">
        <v>186</v>
      </c>
      <c r="H34" s="22"/>
      <c r="I34" s="26" t="s">
        <v>186</v>
      </c>
      <c r="J34" s="22"/>
      <c r="K34" s="26" t="s">
        <v>186</v>
      </c>
      <c r="L34" s="22"/>
      <c r="M34" s="26" t="s">
        <v>186</v>
      </c>
      <c r="N34" s="22"/>
    </row>
    <row r="35" spans="1:14" ht="18" customHeight="1">
      <c r="A35" s="25" t="s">
        <v>208</v>
      </c>
      <c r="B35" s="22"/>
      <c r="C35" s="25" t="s">
        <v>208</v>
      </c>
      <c r="D35" s="22"/>
      <c r="E35" s="25" t="s">
        <v>208</v>
      </c>
      <c r="F35" s="22"/>
      <c r="G35" s="25" t="s">
        <v>208</v>
      </c>
      <c r="H35" s="22"/>
      <c r="I35" s="25" t="s">
        <v>208</v>
      </c>
      <c r="J35" s="22"/>
      <c r="K35" s="24"/>
      <c r="L35" s="22"/>
      <c r="M35" s="24"/>
      <c r="N35" s="22"/>
    </row>
    <row r="36" spans="1:14" ht="18" customHeight="1">
      <c r="A36" s="23" t="s">
        <v>191</v>
      </c>
      <c r="B36" s="22"/>
      <c r="C36" s="23" t="s">
        <v>191</v>
      </c>
      <c r="D36" s="22"/>
      <c r="E36" s="23" t="s">
        <v>191</v>
      </c>
      <c r="F36" s="22"/>
      <c r="G36" s="23" t="s">
        <v>191</v>
      </c>
      <c r="H36" s="22"/>
      <c r="I36" s="23" t="s">
        <v>191</v>
      </c>
      <c r="J36" s="22"/>
      <c r="K36" s="23" t="s">
        <v>191</v>
      </c>
      <c r="L36" s="22"/>
      <c r="M36" s="23" t="s">
        <v>191</v>
      </c>
      <c r="N36" s="22"/>
    </row>
    <row r="37" spans="1:14" ht="18" customHeight="1">
      <c r="A37" s="21" t="s">
        <v>181</v>
      </c>
      <c r="B37" s="22"/>
      <c r="C37" s="21" t="s">
        <v>181</v>
      </c>
      <c r="D37" s="22"/>
      <c r="E37" s="21" t="s">
        <v>181</v>
      </c>
      <c r="F37" s="22"/>
      <c r="G37" s="21" t="s">
        <v>191</v>
      </c>
      <c r="H37" s="22"/>
      <c r="I37" s="21" t="s">
        <v>181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174</v>
      </c>
      <c r="B40" s="22"/>
      <c r="C40" s="30" t="s">
        <v>174</v>
      </c>
      <c r="D40" s="22"/>
      <c r="E40" s="30" t="s">
        <v>174</v>
      </c>
      <c r="F40" s="22"/>
      <c r="G40" s="30" t="s">
        <v>174</v>
      </c>
      <c r="H40" s="22"/>
      <c r="I40" s="30" t="s">
        <v>174</v>
      </c>
      <c r="J40" s="22"/>
      <c r="K40" s="30" t="s">
        <v>174</v>
      </c>
      <c r="L40" s="22"/>
      <c r="M40" s="30" t="s">
        <v>174</v>
      </c>
      <c r="N40" s="22"/>
    </row>
    <row r="41" spans="1:14" ht="29.25" customHeight="1">
      <c r="A41" s="61" t="s">
        <v>211</v>
      </c>
      <c r="B41" s="31"/>
      <c r="C41" s="61" t="s">
        <v>252</v>
      </c>
      <c r="D41" s="31"/>
      <c r="E41" s="61" t="s">
        <v>183</v>
      </c>
      <c r="F41" s="31"/>
      <c r="G41" s="58" t="s">
        <v>262</v>
      </c>
      <c r="H41" s="31"/>
      <c r="I41" s="58" t="s">
        <v>263</v>
      </c>
      <c r="J41" s="31"/>
      <c r="K41" s="61" t="s">
        <v>202</v>
      </c>
      <c r="L41" s="31"/>
      <c r="M41" s="61" t="s">
        <v>185</v>
      </c>
      <c r="N41" s="31"/>
    </row>
    <row r="42" spans="1:14" ht="18" customHeight="1">
      <c r="A42" s="2">
        <f>IF(M33="","",IF(MONTH(M33+1)&lt;&gt;MONTH($A$1),"",M33+1))</f>
        <v>46076</v>
      </c>
      <c r="B42" s="3"/>
      <c r="C42" s="2">
        <f>IF(A42="","",IF(MONTH(A42+1)&lt;&gt;MONTH($A$1),"",A42+1))</f>
        <v>46077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1</v>
      </c>
      <c r="N42" s="5"/>
    </row>
    <row r="43" spans="1:14" ht="18" customHeight="1">
      <c r="A43" s="26" t="s">
        <v>207</v>
      </c>
      <c r="B43" s="22"/>
      <c r="C43" s="26" t="s">
        <v>207</v>
      </c>
      <c r="D43" s="22"/>
      <c r="E43" s="26" t="s">
        <v>207</v>
      </c>
      <c r="F43" s="22"/>
      <c r="G43" s="26" t="s">
        <v>207</v>
      </c>
      <c r="H43" s="22"/>
      <c r="I43" s="26" t="s">
        <v>207</v>
      </c>
      <c r="J43" s="22"/>
      <c r="K43" s="26" t="s">
        <v>207</v>
      </c>
      <c r="L43" s="22"/>
      <c r="M43" s="26" t="s">
        <v>207</v>
      </c>
      <c r="N43" s="22"/>
    </row>
    <row r="44" spans="1:14" ht="18" customHeight="1">
      <c r="A44" s="25" t="s">
        <v>195</v>
      </c>
      <c r="B44" s="22"/>
      <c r="C44" s="25" t="s">
        <v>195</v>
      </c>
      <c r="D44" s="22"/>
      <c r="E44" s="25" t="s">
        <v>195</v>
      </c>
      <c r="F44" s="22"/>
      <c r="G44" s="25" t="s">
        <v>195</v>
      </c>
      <c r="H44" s="22"/>
      <c r="I44" s="25" t="s">
        <v>195</v>
      </c>
      <c r="J44" s="22"/>
      <c r="K44" s="24"/>
      <c r="L44" s="22"/>
      <c r="M44" s="24"/>
      <c r="N44" s="22"/>
    </row>
    <row r="45" spans="1:14" ht="18" customHeight="1">
      <c r="A45" s="23" t="s">
        <v>181</v>
      </c>
      <c r="B45" s="22"/>
      <c r="C45" s="23" t="s">
        <v>181</v>
      </c>
      <c r="D45" s="22"/>
      <c r="E45" s="23" t="s">
        <v>181</v>
      </c>
      <c r="F45" s="22"/>
      <c r="G45" s="23" t="s">
        <v>181</v>
      </c>
      <c r="H45" s="22"/>
      <c r="I45" s="23" t="s">
        <v>181</v>
      </c>
      <c r="J45" s="22"/>
      <c r="K45" s="23" t="s">
        <v>181</v>
      </c>
      <c r="L45" s="22"/>
      <c r="M45" s="23" t="s">
        <v>181</v>
      </c>
      <c r="N45" s="22"/>
    </row>
    <row r="46" spans="1:14" ht="18" customHeight="1">
      <c r="A46" s="21" t="s">
        <v>264</v>
      </c>
      <c r="B46" s="22"/>
      <c r="C46" s="21" t="s">
        <v>264</v>
      </c>
      <c r="D46" s="22"/>
      <c r="E46" s="21" t="s">
        <v>264</v>
      </c>
      <c r="F46" s="22"/>
      <c r="G46" s="21" t="s">
        <v>264</v>
      </c>
      <c r="H46" s="22"/>
      <c r="I46" s="21" t="s">
        <v>264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187</v>
      </c>
      <c r="B49" s="22"/>
      <c r="C49" s="30" t="s">
        <v>187</v>
      </c>
      <c r="D49" s="22"/>
      <c r="E49" s="30" t="s">
        <v>187</v>
      </c>
      <c r="F49" s="22"/>
      <c r="G49" s="30" t="s">
        <v>187</v>
      </c>
      <c r="H49" s="22"/>
      <c r="I49" s="30" t="s">
        <v>187</v>
      </c>
      <c r="J49" s="22"/>
      <c r="K49" s="30" t="s">
        <v>187</v>
      </c>
      <c r="L49" s="22"/>
      <c r="M49" s="30" t="s">
        <v>187</v>
      </c>
      <c r="N49" s="22"/>
    </row>
    <row r="50" spans="1:14" ht="18" customHeight="1">
      <c r="A50" s="61" t="s">
        <v>203</v>
      </c>
      <c r="B50" s="31"/>
      <c r="C50" s="61" t="s">
        <v>185</v>
      </c>
      <c r="D50" s="31"/>
      <c r="E50" s="61" t="s">
        <v>202</v>
      </c>
      <c r="F50" s="31"/>
      <c r="G50" s="61" t="s">
        <v>265</v>
      </c>
      <c r="H50" s="31"/>
      <c r="I50" s="61" t="s">
        <v>204</v>
      </c>
      <c r="J50" s="31"/>
      <c r="K50" s="61" t="s">
        <v>204</v>
      </c>
      <c r="L50" s="31"/>
      <c r="M50" s="61" t="s">
        <v>201</v>
      </c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4" workbookViewId="0">
      <selection activeCell="J66" sqref="J66"/>
    </sheetView>
  </sheetViews>
  <sheetFormatPr defaultColWidth="12.5703125" defaultRowHeight="12.75" customHeight="1"/>
  <cols>
    <col min="1" max="1" width="3.85546875" customWidth="1"/>
    <col min="2" max="2" width="14.710937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EDATE('©'!A17,44)</f>
        <v>46082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MARCH 2026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46083</v>
      </c>
      <c r="B5" s="51"/>
      <c r="C5" s="50">
        <f>C15</f>
        <v>46084</v>
      </c>
      <c r="D5" s="51"/>
      <c r="E5" s="50">
        <f>E15</f>
        <v>46085</v>
      </c>
      <c r="F5" s="51"/>
      <c r="G5" s="50">
        <f>G15</f>
        <v>46086</v>
      </c>
      <c r="H5" s="51"/>
      <c r="I5" s="50">
        <f>I15</f>
        <v>46087</v>
      </c>
      <c r="J5" s="51"/>
      <c r="K5" s="50">
        <f>K15</f>
        <v>46088</v>
      </c>
      <c r="L5" s="51"/>
      <c r="M5" s="50">
        <f>M15</f>
        <v>46089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46082</v>
      </c>
      <c r="N6" s="5"/>
    </row>
    <row r="7" spans="1:14" ht="18" customHeight="1">
      <c r="A7" s="26" t="s">
        <v>207</v>
      </c>
      <c r="B7" s="22"/>
      <c r="C7" s="26" t="s">
        <v>207</v>
      </c>
      <c r="D7" s="22"/>
      <c r="E7" s="26" t="s">
        <v>207</v>
      </c>
      <c r="F7" s="22"/>
      <c r="G7" s="26" t="s">
        <v>207</v>
      </c>
      <c r="H7" s="22"/>
      <c r="I7" s="26" t="s">
        <v>207</v>
      </c>
      <c r="J7" s="22"/>
      <c r="K7" s="26" t="s">
        <v>207</v>
      </c>
      <c r="L7" s="22"/>
      <c r="M7" s="26" t="s">
        <v>207</v>
      </c>
      <c r="N7" s="22"/>
    </row>
    <row r="8" spans="1:14" ht="18" customHeight="1">
      <c r="A8" s="25" t="s">
        <v>195</v>
      </c>
      <c r="B8" s="22"/>
      <c r="C8" s="25" t="s">
        <v>195</v>
      </c>
      <c r="D8" s="22"/>
      <c r="E8" s="25" t="s">
        <v>195</v>
      </c>
      <c r="F8" s="22"/>
      <c r="G8" s="25" t="s">
        <v>195</v>
      </c>
      <c r="H8" s="22"/>
      <c r="I8" s="25" t="s">
        <v>195</v>
      </c>
      <c r="J8" s="22"/>
      <c r="K8" s="24"/>
      <c r="L8" s="22"/>
      <c r="M8" s="24"/>
      <c r="N8" s="22"/>
    </row>
    <row r="9" spans="1:14" ht="18" customHeight="1">
      <c r="A9" s="23" t="s">
        <v>181</v>
      </c>
      <c r="B9" s="22"/>
      <c r="C9" s="23" t="s">
        <v>181</v>
      </c>
      <c r="D9" s="22"/>
      <c r="E9" s="23" t="s">
        <v>181</v>
      </c>
      <c r="F9" s="22"/>
      <c r="G9" s="23" t="s">
        <v>181</v>
      </c>
      <c r="H9" s="22"/>
      <c r="I9" s="23" t="s">
        <v>181</v>
      </c>
      <c r="J9" s="22"/>
      <c r="K9" s="23" t="s">
        <v>181</v>
      </c>
      <c r="L9" s="22"/>
      <c r="M9" s="23" t="s">
        <v>181</v>
      </c>
      <c r="N9" s="22"/>
    </row>
    <row r="10" spans="1:14" ht="18" customHeight="1">
      <c r="A10" s="21" t="s">
        <v>200</v>
      </c>
      <c r="B10" s="22"/>
      <c r="C10" s="21" t="s">
        <v>200</v>
      </c>
      <c r="D10" s="22"/>
      <c r="E10" s="21" t="s">
        <v>200</v>
      </c>
      <c r="F10" s="22"/>
      <c r="G10" s="21" t="s">
        <v>200</v>
      </c>
      <c r="H10" s="22"/>
      <c r="I10" s="21" t="s">
        <v>200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187</v>
      </c>
      <c r="B13" s="22"/>
      <c r="C13" s="30" t="s">
        <v>187</v>
      </c>
      <c r="D13" s="22"/>
      <c r="E13" s="30" t="s">
        <v>187</v>
      </c>
      <c r="F13" s="22"/>
      <c r="G13" s="30" t="s">
        <v>187</v>
      </c>
      <c r="H13" s="22"/>
      <c r="I13" s="30" t="s">
        <v>187</v>
      </c>
      <c r="J13" s="22"/>
      <c r="K13" s="30" t="s">
        <v>187</v>
      </c>
      <c r="L13" s="22"/>
      <c r="M13" s="30" t="s">
        <v>187</v>
      </c>
      <c r="N13" s="22"/>
    </row>
    <row r="14" spans="1:14" ht="18" customHeight="1">
      <c r="A14" s="61"/>
      <c r="B14" s="31"/>
      <c r="C14" s="61"/>
      <c r="D14" s="31"/>
      <c r="E14" s="61"/>
      <c r="F14" s="31"/>
      <c r="G14" s="61"/>
      <c r="H14" s="31"/>
      <c r="I14" s="61"/>
      <c r="J14" s="31"/>
      <c r="K14" s="61"/>
      <c r="L14" s="31"/>
      <c r="M14" s="61" t="s">
        <v>201</v>
      </c>
      <c r="N14" s="31"/>
    </row>
    <row r="15" spans="1:14" ht="18" customHeight="1">
      <c r="A15" s="2">
        <f>M6+1</f>
        <v>46083</v>
      </c>
      <c r="B15" s="3"/>
      <c r="C15" s="2">
        <f>A15+1</f>
        <v>46084</v>
      </c>
      <c r="D15" s="3"/>
      <c r="E15" s="2">
        <f>C15+1</f>
        <v>46085</v>
      </c>
      <c r="F15" s="3"/>
      <c r="G15" s="2">
        <f>E15+1</f>
        <v>46086</v>
      </c>
      <c r="H15" s="3"/>
      <c r="I15" s="2">
        <f>G15+1</f>
        <v>46087</v>
      </c>
      <c r="J15" s="3"/>
      <c r="K15" s="4">
        <f>I15+1</f>
        <v>46088</v>
      </c>
      <c r="L15" s="5"/>
      <c r="M15" s="4">
        <f>K15+1</f>
        <v>46089</v>
      </c>
      <c r="N15" s="5"/>
    </row>
    <row r="16" spans="1:14" ht="18" customHeight="1">
      <c r="A16" s="45" t="s">
        <v>176</v>
      </c>
      <c r="B16" s="46"/>
      <c r="C16" s="45" t="s">
        <v>176</v>
      </c>
      <c r="D16" s="46"/>
      <c r="E16" s="45" t="s">
        <v>176</v>
      </c>
      <c r="F16" s="46"/>
      <c r="G16" s="45" t="s">
        <v>176</v>
      </c>
      <c r="H16" s="46"/>
      <c r="I16" s="45" t="s">
        <v>176</v>
      </c>
      <c r="J16" s="46"/>
      <c r="K16" s="45" t="s">
        <v>176</v>
      </c>
      <c r="L16" s="46"/>
      <c r="M16" s="45" t="s">
        <v>176</v>
      </c>
      <c r="N16" s="46"/>
    </row>
    <row r="17" spans="1:14" ht="18" customHeight="1">
      <c r="A17" s="25" t="s">
        <v>186</v>
      </c>
      <c r="B17" s="43"/>
      <c r="C17" s="25" t="s">
        <v>186</v>
      </c>
      <c r="D17" s="43"/>
      <c r="E17" s="25" t="s">
        <v>186</v>
      </c>
      <c r="F17" s="43"/>
      <c r="G17" s="25" t="s">
        <v>186</v>
      </c>
      <c r="H17" s="43"/>
      <c r="I17" s="25" t="s">
        <v>186</v>
      </c>
      <c r="J17" s="43"/>
      <c r="K17" s="24"/>
      <c r="L17" s="22"/>
      <c r="M17" s="24"/>
      <c r="N17" s="22"/>
    </row>
    <row r="18" spans="1:14" ht="18" customHeight="1">
      <c r="A18" s="23" t="s">
        <v>178</v>
      </c>
      <c r="B18" s="22"/>
      <c r="C18" s="23" t="s">
        <v>178</v>
      </c>
      <c r="D18" s="22"/>
      <c r="E18" s="23" t="s">
        <v>178</v>
      </c>
      <c r="F18" s="22"/>
      <c r="G18" s="23" t="s">
        <v>178</v>
      </c>
      <c r="H18" s="22"/>
      <c r="I18" s="23" t="s">
        <v>178</v>
      </c>
      <c r="J18" s="22"/>
      <c r="K18" s="23" t="s">
        <v>178</v>
      </c>
      <c r="L18" s="22"/>
      <c r="M18" s="23" t="s">
        <v>178</v>
      </c>
      <c r="N18" s="22"/>
    </row>
    <row r="19" spans="1:14" ht="18" customHeight="1">
      <c r="A19" s="21" t="s">
        <v>200</v>
      </c>
      <c r="B19" s="22"/>
      <c r="C19" s="21" t="s">
        <v>200</v>
      </c>
      <c r="D19" s="22"/>
      <c r="E19" s="21" t="s">
        <v>200</v>
      </c>
      <c r="F19" s="22"/>
      <c r="G19" s="21" t="s">
        <v>200</v>
      </c>
      <c r="H19" s="22"/>
      <c r="I19" s="21" t="s">
        <v>200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207</v>
      </c>
      <c r="B22" s="22"/>
      <c r="C22" s="30" t="s">
        <v>207</v>
      </c>
      <c r="D22" s="22"/>
      <c r="E22" s="30" t="s">
        <v>207</v>
      </c>
      <c r="F22" s="22"/>
      <c r="G22" s="30" t="s">
        <v>207</v>
      </c>
      <c r="H22" s="22"/>
      <c r="I22" s="30" t="s">
        <v>207</v>
      </c>
      <c r="J22" s="22"/>
      <c r="K22" s="30" t="s">
        <v>207</v>
      </c>
      <c r="L22" s="22"/>
      <c r="M22" s="30" t="s">
        <v>207</v>
      </c>
      <c r="N22" s="22"/>
    </row>
    <row r="23" spans="1:14" ht="18" customHeight="1">
      <c r="A23" s="61" t="s">
        <v>204</v>
      </c>
      <c r="B23" s="31"/>
      <c r="C23" s="61" t="s">
        <v>203</v>
      </c>
      <c r="D23" s="31"/>
      <c r="E23" s="61" t="s">
        <v>266</v>
      </c>
      <c r="F23" s="31"/>
      <c r="G23" s="61" t="s">
        <v>201</v>
      </c>
      <c r="H23" s="31"/>
      <c r="I23" s="61" t="s">
        <v>185</v>
      </c>
      <c r="J23" s="31"/>
      <c r="K23" s="61" t="s">
        <v>267</v>
      </c>
      <c r="L23" s="31"/>
      <c r="M23" s="61" t="s">
        <v>203</v>
      </c>
      <c r="N23" s="31"/>
    </row>
    <row r="24" spans="1:14" ht="18" customHeight="1">
      <c r="A24" s="2">
        <f>M15+1</f>
        <v>46090</v>
      </c>
      <c r="B24" s="3"/>
      <c r="C24" s="2">
        <f>A24+1</f>
        <v>46091</v>
      </c>
      <c r="D24" s="3"/>
      <c r="E24" s="2">
        <f>C24+1</f>
        <v>46092</v>
      </c>
      <c r="F24" s="3"/>
      <c r="G24" s="2">
        <f>E24+1</f>
        <v>46093</v>
      </c>
      <c r="H24" s="3"/>
      <c r="I24" s="2">
        <f>G24+1</f>
        <v>46094</v>
      </c>
      <c r="J24" s="3"/>
      <c r="K24" s="4">
        <f>I24+1</f>
        <v>46095</v>
      </c>
      <c r="L24" s="5"/>
      <c r="M24" s="4">
        <f>K24+1</f>
        <v>46096</v>
      </c>
      <c r="N24" s="5"/>
    </row>
    <row r="25" spans="1:14" ht="18" customHeight="1">
      <c r="A25" s="26" t="s">
        <v>268</v>
      </c>
      <c r="B25" s="22"/>
      <c r="C25" s="26" t="s">
        <v>219</v>
      </c>
      <c r="D25" s="22"/>
      <c r="E25" s="26" t="s">
        <v>219</v>
      </c>
      <c r="F25" s="22"/>
      <c r="G25" s="26" t="s">
        <v>219</v>
      </c>
      <c r="H25" s="22"/>
      <c r="I25" s="26" t="s">
        <v>219</v>
      </c>
      <c r="J25" s="22"/>
      <c r="K25" s="26" t="s">
        <v>219</v>
      </c>
      <c r="L25" s="22"/>
      <c r="M25" s="26" t="s">
        <v>219</v>
      </c>
      <c r="N25" s="22"/>
    </row>
    <row r="26" spans="1:14" ht="18" customHeight="1">
      <c r="A26" s="25" t="s">
        <v>177</v>
      </c>
      <c r="B26" s="22"/>
      <c r="C26" s="25" t="s">
        <v>177</v>
      </c>
      <c r="D26" s="22"/>
      <c r="E26" s="25" t="s">
        <v>177</v>
      </c>
      <c r="F26" s="22"/>
      <c r="G26" s="25" t="s">
        <v>177</v>
      </c>
      <c r="H26" s="22"/>
      <c r="I26" s="25" t="s">
        <v>177</v>
      </c>
      <c r="J26" s="22"/>
      <c r="K26" s="24"/>
      <c r="L26" s="22"/>
      <c r="M26" s="24"/>
      <c r="N26" s="22"/>
    </row>
    <row r="27" spans="1:14" ht="18" customHeight="1">
      <c r="A27" s="23" t="s">
        <v>200</v>
      </c>
      <c r="B27" s="22"/>
      <c r="C27" s="23" t="s">
        <v>200</v>
      </c>
      <c r="D27" s="22"/>
      <c r="E27" s="23" t="s">
        <v>200</v>
      </c>
      <c r="F27" s="22"/>
      <c r="G27" s="23" t="s">
        <v>200</v>
      </c>
      <c r="H27" s="22"/>
      <c r="I27" s="23" t="s">
        <v>200</v>
      </c>
      <c r="J27" s="22"/>
      <c r="K27" s="23" t="s">
        <v>200</v>
      </c>
      <c r="L27" s="22"/>
      <c r="M27" s="23" t="s">
        <v>200</v>
      </c>
      <c r="N27" s="22"/>
    </row>
    <row r="28" spans="1:14" ht="18" customHeight="1">
      <c r="A28" s="21" t="s">
        <v>178</v>
      </c>
      <c r="B28" s="22"/>
      <c r="C28" s="21" t="s">
        <v>178</v>
      </c>
      <c r="D28" s="22"/>
      <c r="E28" s="21" t="s">
        <v>178</v>
      </c>
      <c r="F28" s="22"/>
      <c r="G28" s="21" t="s">
        <v>178</v>
      </c>
      <c r="H28" s="22"/>
      <c r="I28" s="21" t="s">
        <v>178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190</v>
      </c>
      <c r="B31" s="22"/>
      <c r="C31" s="30" t="s">
        <v>190</v>
      </c>
      <c r="D31" s="22"/>
      <c r="E31" s="30" t="s">
        <v>190</v>
      </c>
      <c r="F31" s="22"/>
      <c r="G31" s="30" t="s">
        <v>190</v>
      </c>
      <c r="H31" s="22"/>
      <c r="I31" s="30" t="s">
        <v>190</v>
      </c>
      <c r="J31" s="22"/>
      <c r="K31" s="30" t="s">
        <v>190</v>
      </c>
      <c r="L31" s="22"/>
      <c r="M31" s="30" t="s">
        <v>190</v>
      </c>
      <c r="N31" s="22"/>
    </row>
    <row r="32" spans="1:14" ht="18" customHeight="1">
      <c r="A32" s="61" t="s">
        <v>211</v>
      </c>
      <c r="B32" s="31"/>
      <c r="C32" s="61" t="s">
        <v>211</v>
      </c>
      <c r="D32" s="31"/>
      <c r="E32" s="61" t="s">
        <v>203</v>
      </c>
      <c r="F32" s="31"/>
      <c r="G32" s="61" t="s">
        <v>269</v>
      </c>
      <c r="H32" s="31"/>
      <c r="I32" s="61" t="s">
        <v>203</v>
      </c>
      <c r="J32" s="31"/>
      <c r="K32" s="61" t="s">
        <v>203</v>
      </c>
      <c r="L32" s="31"/>
      <c r="M32" s="61" t="s">
        <v>201</v>
      </c>
      <c r="N32" s="31"/>
    </row>
    <row r="33" spans="1:14" ht="18" customHeight="1">
      <c r="A33" s="2">
        <f>M24+1</f>
        <v>46097</v>
      </c>
      <c r="B33" s="3"/>
      <c r="C33" s="2">
        <f>A33+1</f>
        <v>46098</v>
      </c>
      <c r="D33" s="3"/>
      <c r="E33" s="2">
        <f>C33+1</f>
        <v>46099</v>
      </c>
      <c r="F33" s="3"/>
      <c r="G33" s="2">
        <f>E33+1</f>
        <v>46100</v>
      </c>
      <c r="H33" s="3"/>
      <c r="I33" s="2">
        <f>G33+1</f>
        <v>46101</v>
      </c>
      <c r="J33" s="3"/>
      <c r="K33" s="4">
        <f>I33+1</f>
        <v>46102</v>
      </c>
      <c r="L33" s="5"/>
      <c r="M33" s="4">
        <f>K33+1</f>
        <v>46103</v>
      </c>
      <c r="N33" s="5"/>
    </row>
    <row r="34" spans="1:14" ht="18" customHeight="1">
      <c r="A34" s="26" t="s">
        <v>186</v>
      </c>
      <c r="B34" s="22"/>
      <c r="C34" s="26" t="s">
        <v>186</v>
      </c>
      <c r="D34" s="22"/>
      <c r="E34" s="26" t="s">
        <v>186</v>
      </c>
      <c r="F34" s="22"/>
      <c r="G34" s="26" t="s">
        <v>186</v>
      </c>
      <c r="H34" s="22"/>
      <c r="I34" s="26" t="s">
        <v>186</v>
      </c>
      <c r="J34" s="22"/>
      <c r="K34" s="26" t="s">
        <v>186</v>
      </c>
      <c r="L34" s="22"/>
      <c r="M34" s="26" t="s">
        <v>174</v>
      </c>
      <c r="N34" s="22"/>
    </row>
    <row r="35" spans="1:14" ht="18" customHeight="1">
      <c r="A35" s="25" t="s">
        <v>186</v>
      </c>
      <c r="B35" s="22"/>
      <c r="C35" s="25" t="s">
        <v>174</v>
      </c>
      <c r="D35" s="22"/>
      <c r="E35" s="25" t="s">
        <v>174</v>
      </c>
      <c r="F35" s="22"/>
      <c r="G35" s="25" t="s">
        <v>174</v>
      </c>
      <c r="H35" s="22"/>
      <c r="I35" s="25" t="s">
        <v>174</v>
      </c>
      <c r="J35" s="22"/>
      <c r="K35" s="24"/>
      <c r="L35" s="22"/>
      <c r="M35" s="24"/>
      <c r="N35" s="22"/>
    </row>
    <row r="36" spans="1:14" ht="18" customHeight="1">
      <c r="A36" s="23" t="s">
        <v>178</v>
      </c>
      <c r="B36" s="22"/>
      <c r="C36" s="23" t="s">
        <v>178</v>
      </c>
      <c r="D36" s="22"/>
      <c r="E36" s="23" t="s">
        <v>178</v>
      </c>
      <c r="F36" s="22"/>
      <c r="G36" s="23" t="s">
        <v>178</v>
      </c>
      <c r="H36" s="22"/>
      <c r="I36" s="23" t="s">
        <v>178</v>
      </c>
      <c r="J36" s="22"/>
      <c r="K36" s="23" t="s">
        <v>178</v>
      </c>
      <c r="L36" s="22"/>
      <c r="M36" s="23" t="s">
        <v>178</v>
      </c>
      <c r="N36" s="22"/>
    </row>
    <row r="37" spans="1:14" ht="18" customHeight="1">
      <c r="A37" s="21" t="s">
        <v>188</v>
      </c>
      <c r="B37" s="22"/>
      <c r="C37" s="21" t="s">
        <v>188</v>
      </c>
      <c r="D37" s="22"/>
      <c r="E37" s="21" t="s">
        <v>188</v>
      </c>
      <c r="F37" s="22"/>
      <c r="G37" s="21" t="s">
        <v>188</v>
      </c>
      <c r="H37" s="22"/>
      <c r="I37" s="21" t="s">
        <v>188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177</v>
      </c>
      <c r="B40" s="22"/>
      <c r="C40" s="30" t="s">
        <v>177</v>
      </c>
      <c r="D40" s="22"/>
      <c r="E40" s="30" t="s">
        <v>177</v>
      </c>
      <c r="F40" s="22"/>
      <c r="G40" s="30" t="s">
        <v>177</v>
      </c>
      <c r="H40" s="22"/>
      <c r="I40" s="30" t="s">
        <v>177</v>
      </c>
      <c r="J40" s="22"/>
      <c r="K40" s="30" t="s">
        <v>177</v>
      </c>
      <c r="L40" s="22"/>
      <c r="M40" s="30" t="s">
        <v>177</v>
      </c>
      <c r="N40" s="22"/>
    </row>
    <row r="41" spans="1:14" ht="18" customHeight="1">
      <c r="A41" s="61" t="s">
        <v>203</v>
      </c>
      <c r="B41" s="31"/>
      <c r="C41" s="61" t="s">
        <v>202</v>
      </c>
      <c r="D41" s="31"/>
      <c r="E41" s="61" t="s">
        <v>201</v>
      </c>
      <c r="F41" s="31"/>
      <c r="G41" s="61" t="s">
        <v>183</v>
      </c>
      <c r="H41" s="31"/>
      <c r="I41" s="61" t="s">
        <v>202</v>
      </c>
      <c r="J41" s="31"/>
      <c r="K41" s="61" t="s">
        <v>202</v>
      </c>
      <c r="L41" s="31"/>
      <c r="M41" s="61" t="s">
        <v>201</v>
      </c>
      <c r="N41" s="31"/>
    </row>
    <row r="42" spans="1:14" ht="18" customHeight="1">
      <c r="A42" s="2">
        <f>IF(M33="","",IF(MONTH(M33+1)&lt;&gt;MONTH($A$1),"",M33+1))</f>
        <v>46104</v>
      </c>
      <c r="B42" s="3"/>
      <c r="C42" s="2">
        <f>IF(A42="","",IF(MONTH(A42+1)&lt;&gt;MONTH($A$1),"",A42+1))</f>
        <v>46105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29</v>
      </c>
      <c r="N42" s="5"/>
    </row>
    <row r="43" spans="1:14" ht="18" customHeight="1">
      <c r="A43" s="26" t="s">
        <v>208</v>
      </c>
      <c r="B43" s="22"/>
      <c r="C43" s="26" t="s">
        <v>208</v>
      </c>
      <c r="D43" s="22"/>
      <c r="E43" s="26" t="s">
        <v>208</v>
      </c>
      <c r="F43" s="22"/>
      <c r="G43" s="26" t="s">
        <v>208</v>
      </c>
      <c r="H43" s="22"/>
      <c r="I43" s="26" t="s">
        <v>208</v>
      </c>
      <c r="J43" s="22"/>
      <c r="K43" s="26" t="s">
        <v>208</v>
      </c>
      <c r="L43" s="22"/>
      <c r="M43" s="26" t="s">
        <v>208</v>
      </c>
      <c r="N43" s="22"/>
    </row>
    <row r="44" spans="1:14" ht="18" customHeight="1">
      <c r="A44" s="25" t="s">
        <v>207</v>
      </c>
      <c r="B44" s="22"/>
      <c r="C44" s="25" t="s">
        <v>207</v>
      </c>
      <c r="D44" s="22"/>
      <c r="E44" s="25" t="s">
        <v>207</v>
      </c>
      <c r="F44" s="22"/>
      <c r="G44" s="25" t="s">
        <v>207</v>
      </c>
      <c r="H44" s="22"/>
      <c r="I44" s="25" t="s">
        <v>207</v>
      </c>
      <c r="J44" s="22"/>
      <c r="K44" s="24"/>
      <c r="L44" s="22"/>
      <c r="M44" s="24"/>
      <c r="N44" s="22"/>
    </row>
    <row r="45" spans="1:14" ht="18" customHeight="1">
      <c r="A45" s="23" t="s">
        <v>209</v>
      </c>
      <c r="B45" s="22"/>
      <c r="C45" s="23" t="s">
        <v>209</v>
      </c>
      <c r="D45" s="22"/>
      <c r="E45" s="23" t="s">
        <v>209</v>
      </c>
      <c r="F45" s="22"/>
      <c r="G45" s="23" t="s">
        <v>209</v>
      </c>
      <c r="H45" s="22"/>
      <c r="I45" s="23" t="s">
        <v>209</v>
      </c>
      <c r="J45" s="22"/>
      <c r="K45" s="23" t="s">
        <v>209</v>
      </c>
      <c r="L45" s="22"/>
      <c r="M45" s="23" t="s">
        <v>209</v>
      </c>
      <c r="N45" s="22"/>
    </row>
    <row r="46" spans="1:14" ht="18" customHeight="1">
      <c r="A46" s="21" t="s">
        <v>196</v>
      </c>
      <c r="B46" s="22"/>
      <c r="C46" s="21" t="s">
        <v>196</v>
      </c>
      <c r="D46" s="22"/>
      <c r="E46" s="21" t="s">
        <v>196</v>
      </c>
      <c r="F46" s="22"/>
      <c r="G46" s="21" t="s">
        <v>196</v>
      </c>
      <c r="H46" s="22"/>
      <c r="I46" s="21" t="s">
        <v>196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219</v>
      </c>
      <c r="B49" s="22"/>
      <c r="C49" s="30" t="s">
        <v>219</v>
      </c>
      <c r="D49" s="22"/>
      <c r="E49" s="30" t="s">
        <v>219</v>
      </c>
      <c r="F49" s="22"/>
      <c r="G49" s="30" t="s">
        <v>219</v>
      </c>
      <c r="H49" s="22"/>
      <c r="I49" s="30" t="s">
        <v>219</v>
      </c>
      <c r="J49" s="22"/>
      <c r="K49" s="30" t="s">
        <v>219</v>
      </c>
      <c r="L49" s="22"/>
      <c r="M49" s="30" t="s">
        <v>219</v>
      </c>
      <c r="N49" s="22"/>
    </row>
    <row r="50" spans="1:14" ht="18" customHeight="1">
      <c r="A50" s="61" t="s">
        <v>270</v>
      </c>
      <c r="B50" s="31"/>
      <c r="C50" s="61" t="s">
        <v>271</v>
      </c>
      <c r="D50" s="31"/>
      <c r="E50" s="61" t="s">
        <v>272</v>
      </c>
      <c r="F50" s="31"/>
      <c r="G50" s="61" t="s">
        <v>201</v>
      </c>
      <c r="H50" s="31"/>
      <c r="I50" s="61" t="s">
        <v>273</v>
      </c>
      <c r="J50" s="31"/>
      <c r="K50" s="61" t="s">
        <v>273</v>
      </c>
      <c r="L50" s="31"/>
      <c r="M50" s="61" t="s">
        <v>183</v>
      </c>
      <c r="N50" s="31"/>
    </row>
    <row r="51" spans="1:14" ht="18" customHeight="1">
      <c r="A51" s="2">
        <v>30</v>
      </c>
      <c r="B51" s="3"/>
      <c r="C51" s="2">
        <v>31</v>
      </c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 t="s">
        <v>191</v>
      </c>
      <c r="B52" s="22"/>
      <c r="C52" s="34" t="s">
        <v>191</v>
      </c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 t="s">
        <v>186</v>
      </c>
      <c r="B53" s="22"/>
      <c r="C53" s="24" t="s">
        <v>186</v>
      </c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 t="s">
        <v>196</v>
      </c>
      <c r="B54" s="22"/>
      <c r="C54" s="33" t="s">
        <v>196</v>
      </c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 t="s">
        <v>264</v>
      </c>
      <c r="B55" s="22"/>
      <c r="C55" s="27" t="s">
        <v>264</v>
      </c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 t="s">
        <v>274</v>
      </c>
      <c r="B57" s="22"/>
      <c r="C57" s="28" t="s">
        <v>275</v>
      </c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 t="s">
        <v>199</v>
      </c>
      <c r="B58" s="22"/>
      <c r="C58" s="32" t="s">
        <v>199</v>
      </c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5" workbookViewId="0">
      <selection activeCell="A32" sqref="A32:B3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EDATE('©'!A17,45)</f>
        <v>46113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APRIL 2026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46118</v>
      </c>
      <c r="B5" s="51"/>
      <c r="C5" s="50">
        <f>C15</f>
        <v>46119</v>
      </c>
      <c r="D5" s="51"/>
      <c r="E5" s="50">
        <f>E15</f>
        <v>46120</v>
      </c>
      <c r="F5" s="51"/>
      <c r="G5" s="50">
        <f>G15</f>
        <v>46121</v>
      </c>
      <c r="H5" s="51"/>
      <c r="I5" s="50">
        <f>I15</f>
        <v>46122</v>
      </c>
      <c r="J5" s="51"/>
      <c r="K5" s="50">
        <f>K15</f>
        <v>46123</v>
      </c>
      <c r="L5" s="51"/>
      <c r="M5" s="50">
        <f>M15</f>
        <v>46124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46113</v>
      </c>
      <c r="F6" s="3"/>
      <c r="G6" s="2">
        <f>IF(E6="",IF(WEEKDAY($A$1,1)=MOD(startday,7)+3,$A$1,""),E6+1)</f>
        <v>46114</v>
      </c>
      <c r="H6" s="3"/>
      <c r="I6" s="2">
        <f>IF(G6="",IF(WEEKDAY($A$1,1)=MOD(startday,7)+4,$A$1,""),G6+1)</f>
        <v>46115</v>
      </c>
      <c r="J6" s="3"/>
      <c r="K6" s="4">
        <f>IF(I6="",IF(WEEKDAY($A$1,1)=MOD(startday,7)+5,$A$1,""),I6+1)</f>
        <v>46116</v>
      </c>
      <c r="L6" s="5"/>
      <c r="M6" s="4">
        <f>IF(K6="",IF(WEEKDAY($A$1,1)=MOD(startday+5,7)+1,$A$1,""),K6+1)</f>
        <v>46117</v>
      </c>
      <c r="N6" s="5"/>
    </row>
    <row r="7" spans="1:14" ht="18" customHeight="1">
      <c r="A7" s="26" t="s">
        <v>191</v>
      </c>
      <c r="B7" s="22"/>
      <c r="C7" s="34" t="s">
        <v>191</v>
      </c>
      <c r="D7" s="22"/>
      <c r="E7" s="34" t="s">
        <v>191</v>
      </c>
      <c r="F7" s="22"/>
      <c r="G7" s="34" t="s">
        <v>191</v>
      </c>
      <c r="H7" s="22"/>
      <c r="I7" s="34" t="s">
        <v>191</v>
      </c>
      <c r="J7" s="22"/>
      <c r="K7" s="34" t="s">
        <v>43</v>
      </c>
      <c r="L7" s="22"/>
      <c r="M7" s="34" t="s">
        <v>43</v>
      </c>
      <c r="N7" s="22"/>
    </row>
    <row r="8" spans="1:14" ht="18" customHeight="1">
      <c r="A8" s="25" t="s">
        <v>186</v>
      </c>
      <c r="B8" s="22"/>
      <c r="C8" s="24" t="s">
        <v>186</v>
      </c>
      <c r="D8" s="22"/>
      <c r="E8" s="24" t="s">
        <v>186</v>
      </c>
      <c r="F8" s="22"/>
      <c r="G8" s="24" t="s">
        <v>186</v>
      </c>
      <c r="H8" s="22"/>
      <c r="I8" s="24" t="s">
        <v>186</v>
      </c>
      <c r="J8" s="22"/>
      <c r="K8" s="25"/>
      <c r="L8" s="22"/>
      <c r="M8" s="25"/>
      <c r="N8" s="22"/>
    </row>
    <row r="9" spans="1:14" ht="18" customHeight="1">
      <c r="A9" s="23" t="s">
        <v>196</v>
      </c>
      <c r="B9" s="22"/>
      <c r="C9" s="33" t="s">
        <v>196</v>
      </c>
      <c r="D9" s="22"/>
      <c r="E9" s="33" t="s">
        <v>196</v>
      </c>
      <c r="F9" s="22"/>
      <c r="G9" s="33" t="s">
        <v>196</v>
      </c>
      <c r="H9" s="22"/>
      <c r="I9" s="33" t="s">
        <v>196</v>
      </c>
      <c r="J9" s="22"/>
      <c r="K9" s="33" t="s">
        <v>196</v>
      </c>
      <c r="L9" s="22"/>
      <c r="M9" s="33" t="s">
        <v>196</v>
      </c>
      <c r="N9" s="22"/>
    </row>
    <row r="10" spans="1:14" ht="18" customHeight="1">
      <c r="A10" s="21" t="s">
        <v>276</v>
      </c>
      <c r="B10" s="22"/>
      <c r="C10" s="27" t="s">
        <v>264</v>
      </c>
      <c r="D10" s="22"/>
      <c r="E10" s="27" t="s">
        <v>264</v>
      </c>
      <c r="F10" s="22"/>
      <c r="G10" s="27" t="s">
        <v>264</v>
      </c>
      <c r="H10" s="22"/>
      <c r="I10" s="27" t="s">
        <v>264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199</v>
      </c>
      <c r="B13" s="22"/>
      <c r="C13" s="30" t="s">
        <v>199</v>
      </c>
      <c r="D13" s="22"/>
      <c r="E13" s="30" t="s">
        <v>199</v>
      </c>
      <c r="F13" s="22"/>
      <c r="G13" s="30" t="s">
        <v>199</v>
      </c>
      <c r="H13" s="22"/>
      <c r="I13" s="30" t="s">
        <v>199</v>
      </c>
      <c r="J13" s="22"/>
      <c r="K13" s="30" t="s">
        <v>199</v>
      </c>
      <c r="L13" s="22"/>
      <c r="M13" s="30" t="s">
        <v>199</v>
      </c>
      <c r="N13" s="22"/>
    </row>
    <row r="14" spans="1:14" ht="18" customHeight="1">
      <c r="A14" s="61"/>
      <c r="B14" s="31"/>
      <c r="C14" s="61"/>
      <c r="D14" s="31"/>
      <c r="E14" s="61" t="s">
        <v>201</v>
      </c>
      <c r="F14" s="31"/>
      <c r="G14" s="61" t="s">
        <v>185</v>
      </c>
      <c r="H14" s="31"/>
      <c r="I14" s="61" t="s">
        <v>277</v>
      </c>
      <c r="J14" s="31"/>
      <c r="K14" s="61" t="s">
        <v>277</v>
      </c>
      <c r="L14" s="31"/>
      <c r="M14" s="61" t="s">
        <v>203</v>
      </c>
      <c r="N14" s="31"/>
    </row>
    <row r="15" spans="1:14" ht="18" customHeight="1">
      <c r="A15" s="2">
        <f>M6+1</f>
        <v>46118</v>
      </c>
      <c r="B15" s="3"/>
      <c r="C15" s="2">
        <f>A15+1</f>
        <v>46119</v>
      </c>
      <c r="D15" s="3"/>
      <c r="E15" s="2">
        <f>C15+1</f>
        <v>46120</v>
      </c>
      <c r="F15" s="3"/>
      <c r="G15" s="2">
        <f>E15+1</f>
        <v>46121</v>
      </c>
      <c r="H15" s="3"/>
      <c r="I15" s="2">
        <f>G15+1</f>
        <v>46122</v>
      </c>
      <c r="J15" s="3"/>
      <c r="K15" s="4">
        <f>I15+1</f>
        <v>46123</v>
      </c>
      <c r="L15" s="5"/>
      <c r="M15" s="4">
        <f>K15+1</f>
        <v>46124</v>
      </c>
      <c r="N15" s="5"/>
    </row>
    <row r="16" spans="1:14" ht="18" customHeight="1">
      <c r="A16" s="45" t="s">
        <v>278</v>
      </c>
      <c r="B16" s="46"/>
      <c r="C16" s="45" t="s">
        <v>186</v>
      </c>
      <c r="D16" s="46"/>
      <c r="E16" s="45" t="s">
        <v>186</v>
      </c>
      <c r="F16" s="46"/>
      <c r="G16" s="45" t="s">
        <v>186</v>
      </c>
      <c r="H16" s="46"/>
      <c r="I16" s="45" t="s">
        <v>186</v>
      </c>
      <c r="J16" s="46"/>
      <c r="K16" s="45" t="s">
        <v>186</v>
      </c>
      <c r="L16" s="46"/>
      <c r="M16" s="45" t="s">
        <v>186</v>
      </c>
      <c r="N16" s="46"/>
    </row>
    <row r="17" spans="1:14" ht="18" customHeight="1">
      <c r="A17" s="25" t="s">
        <v>177</v>
      </c>
      <c r="B17" s="43"/>
      <c r="C17" s="25" t="s">
        <v>177</v>
      </c>
      <c r="D17" s="43"/>
      <c r="E17" s="25" t="s">
        <v>177</v>
      </c>
      <c r="F17" s="43"/>
      <c r="G17" s="25" t="s">
        <v>177</v>
      </c>
      <c r="H17" s="43"/>
      <c r="I17" s="25" t="s">
        <v>177</v>
      </c>
      <c r="J17" s="43"/>
      <c r="K17" s="24"/>
      <c r="L17" s="22"/>
      <c r="M17" s="24"/>
      <c r="N17" s="22"/>
    </row>
    <row r="18" spans="1:14" ht="18" customHeight="1">
      <c r="A18" s="23" t="s">
        <v>191</v>
      </c>
      <c r="B18" s="22"/>
      <c r="C18" s="23" t="s">
        <v>191</v>
      </c>
      <c r="D18" s="22"/>
      <c r="E18" s="23" t="s">
        <v>191</v>
      </c>
      <c r="F18" s="22"/>
      <c r="G18" s="23" t="s">
        <v>191</v>
      </c>
      <c r="H18" s="22"/>
      <c r="I18" s="23" t="s">
        <v>191</v>
      </c>
      <c r="J18" s="22"/>
      <c r="K18" s="23" t="s">
        <v>191</v>
      </c>
      <c r="L18" s="22"/>
      <c r="M18" s="23" t="s">
        <v>191</v>
      </c>
      <c r="N18" s="22"/>
    </row>
    <row r="19" spans="1:14" ht="18" customHeight="1">
      <c r="A19" s="21" t="s">
        <v>178</v>
      </c>
      <c r="B19" s="22"/>
      <c r="C19" s="21" t="s">
        <v>178</v>
      </c>
      <c r="D19" s="22"/>
      <c r="E19" s="21" t="s">
        <v>178</v>
      </c>
      <c r="F19" s="22"/>
      <c r="G19" s="21" t="s">
        <v>178</v>
      </c>
      <c r="H19" s="22"/>
      <c r="I19" s="21" t="s">
        <v>178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208</v>
      </c>
      <c r="B22" s="22"/>
      <c r="C22" s="30" t="s">
        <v>208</v>
      </c>
      <c r="D22" s="22"/>
      <c r="E22" s="30" t="s">
        <v>208</v>
      </c>
      <c r="F22" s="22"/>
      <c r="G22" s="30" t="s">
        <v>208</v>
      </c>
      <c r="H22" s="22"/>
      <c r="I22" s="30" t="s">
        <v>208</v>
      </c>
      <c r="J22" s="22"/>
      <c r="K22" s="30" t="s">
        <v>208</v>
      </c>
      <c r="L22" s="22"/>
      <c r="M22" s="30" t="s">
        <v>208</v>
      </c>
      <c r="N22" s="22"/>
    </row>
    <row r="23" spans="1:14" ht="18" customHeight="1">
      <c r="A23" s="61" t="s">
        <v>271</v>
      </c>
      <c r="B23" s="31"/>
      <c r="C23" s="61" t="s">
        <v>274</v>
      </c>
      <c r="D23" s="31"/>
      <c r="E23" s="61" t="s">
        <v>272</v>
      </c>
      <c r="F23" s="31"/>
      <c r="G23" s="61" t="s">
        <v>270</v>
      </c>
      <c r="H23" s="31"/>
      <c r="I23" s="61" t="s">
        <v>279</v>
      </c>
      <c r="J23" s="31"/>
      <c r="K23" s="61" t="s">
        <v>279</v>
      </c>
      <c r="L23" s="31"/>
      <c r="M23" s="61" t="s">
        <v>202</v>
      </c>
      <c r="N23" s="31"/>
    </row>
    <row r="24" spans="1:14" ht="18" customHeight="1">
      <c r="A24" s="2">
        <f>M15+1</f>
        <v>46125</v>
      </c>
      <c r="B24" s="3"/>
      <c r="C24" s="2">
        <f>A24+1</f>
        <v>46126</v>
      </c>
      <c r="D24" s="3"/>
      <c r="E24" s="2">
        <f>C24+1</f>
        <v>46127</v>
      </c>
      <c r="F24" s="3"/>
      <c r="G24" s="2">
        <f>E24+1</f>
        <v>46128</v>
      </c>
      <c r="H24" s="3"/>
      <c r="I24" s="2">
        <f>G24+1</f>
        <v>46129</v>
      </c>
      <c r="J24" s="3"/>
      <c r="K24" s="4">
        <f>I24+1</f>
        <v>46130</v>
      </c>
      <c r="L24" s="5"/>
      <c r="M24" s="4">
        <f>K24+1</f>
        <v>46131</v>
      </c>
      <c r="N24" s="5"/>
    </row>
    <row r="25" spans="1:14" ht="18" customHeight="1">
      <c r="A25" s="26" t="s">
        <v>176</v>
      </c>
      <c r="B25" s="22"/>
      <c r="C25" s="26" t="s">
        <v>176</v>
      </c>
      <c r="D25" s="22"/>
      <c r="E25" s="26" t="s">
        <v>176</v>
      </c>
      <c r="F25" s="22"/>
      <c r="G25" s="26" t="s">
        <v>176</v>
      </c>
      <c r="H25" s="22"/>
      <c r="I25" s="26" t="s">
        <v>176</v>
      </c>
      <c r="J25" s="22"/>
      <c r="K25" s="26" t="s">
        <v>176</v>
      </c>
      <c r="L25" s="22"/>
      <c r="M25" s="26" t="s">
        <v>176</v>
      </c>
      <c r="N25" s="22"/>
    </row>
    <row r="26" spans="1:14" ht="18" customHeight="1">
      <c r="A26" s="25" t="s">
        <v>186</v>
      </c>
      <c r="B26" s="22"/>
      <c r="C26" s="25" t="s">
        <v>186</v>
      </c>
      <c r="D26" s="22"/>
      <c r="E26" s="25" t="s">
        <v>186</v>
      </c>
      <c r="F26" s="22"/>
      <c r="G26" s="25" t="s">
        <v>186</v>
      </c>
      <c r="H26" s="22"/>
      <c r="I26" s="25" t="s">
        <v>186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188</v>
      </c>
      <c r="L27" s="22"/>
      <c r="M27" s="23" t="s">
        <v>179</v>
      </c>
      <c r="N27" s="22"/>
    </row>
    <row r="28" spans="1:14" ht="18" customHeight="1">
      <c r="A28" s="21" t="s">
        <v>188</v>
      </c>
      <c r="B28" s="22"/>
      <c r="C28" s="21" t="s">
        <v>188</v>
      </c>
      <c r="D28" s="22"/>
      <c r="E28" s="21" t="s">
        <v>188</v>
      </c>
      <c r="F28" s="22"/>
      <c r="G28" s="21" t="s">
        <v>188</v>
      </c>
      <c r="H28" s="22"/>
      <c r="I28" s="21" t="s">
        <v>188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195</v>
      </c>
      <c r="B31" s="22"/>
      <c r="C31" s="30" t="s">
        <v>195</v>
      </c>
      <c r="D31" s="22"/>
      <c r="E31" s="30" t="s">
        <v>195</v>
      </c>
      <c r="F31" s="22"/>
      <c r="G31" s="30" t="s">
        <v>195</v>
      </c>
      <c r="H31" s="22"/>
      <c r="I31" s="30" t="s">
        <v>195</v>
      </c>
      <c r="J31" s="22"/>
      <c r="K31" s="30" t="s">
        <v>195</v>
      </c>
      <c r="L31" s="22"/>
      <c r="M31" s="30" t="s">
        <v>195</v>
      </c>
      <c r="N31" s="22"/>
    </row>
    <row r="32" spans="1:14" ht="18" customHeight="1">
      <c r="A32" s="61" t="s">
        <v>185</v>
      </c>
      <c r="B32" s="31"/>
      <c r="C32" s="61" t="s">
        <v>211</v>
      </c>
      <c r="D32" s="31"/>
      <c r="E32" s="61" t="s">
        <v>203</v>
      </c>
      <c r="F32" s="31"/>
      <c r="G32" s="61" t="s">
        <v>274</v>
      </c>
      <c r="H32" s="31"/>
      <c r="I32" s="61" t="s">
        <v>280</v>
      </c>
      <c r="J32" s="31"/>
      <c r="K32" s="61" t="s">
        <v>272</v>
      </c>
      <c r="L32" s="31"/>
      <c r="M32" s="61" t="s">
        <v>272</v>
      </c>
      <c r="N32" s="31"/>
    </row>
    <row r="33" spans="1:14" ht="18" customHeight="1">
      <c r="A33" s="2">
        <f>M24+1</f>
        <v>46132</v>
      </c>
      <c r="B33" s="3"/>
      <c r="C33" s="2">
        <f>A33+1</f>
        <v>46133</v>
      </c>
      <c r="D33" s="3"/>
      <c r="E33" s="2">
        <f>C33+1</f>
        <v>46134</v>
      </c>
      <c r="F33" s="3"/>
      <c r="G33" s="2">
        <f>E33+1</f>
        <v>46135</v>
      </c>
      <c r="H33" s="3"/>
      <c r="I33" s="2">
        <f>G33+1</f>
        <v>46136</v>
      </c>
      <c r="J33" s="3"/>
      <c r="K33" s="4">
        <f>I33+1</f>
        <v>46137</v>
      </c>
      <c r="L33" s="5"/>
      <c r="M33" s="4">
        <f>K33+1</f>
        <v>46138</v>
      </c>
      <c r="N33" s="5"/>
    </row>
    <row r="34" spans="1:14" ht="18" customHeight="1">
      <c r="A34" s="26" t="s">
        <v>190</v>
      </c>
      <c r="B34" s="22"/>
      <c r="C34" s="26" t="s">
        <v>190</v>
      </c>
      <c r="D34" s="22"/>
      <c r="E34" s="26" t="s">
        <v>190</v>
      </c>
      <c r="F34" s="22"/>
      <c r="G34" s="26" t="s">
        <v>190</v>
      </c>
      <c r="H34" s="22"/>
      <c r="I34" s="26" t="s">
        <v>281</v>
      </c>
      <c r="J34" s="22"/>
      <c r="K34" s="26" t="s">
        <v>187</v>
      </c>
      <c r="L34" s="22"/>
      <c r="M34" s="26" t="s">
        <v>187</v>
      </c>
      <c r="N34" s="22"/>
    </row>
    <row r="35" spans="1:14" ht="18" customHeight="1">
      <c r="A35" s="25" t="s">
        <v>207</v>
      </c>
      <c r="B35" s="22"/>
      <c r="C35" s="25" t="s">
        <v>207</v>
      </c>
      <c r="D35" s="22"/>
      <c r="E35" s="25" t="s">
        <v>207</v>
      </c>
      <c r="F35" s="22"/>
      <c r="G35" s="25" t="s">
        <v>207</v>
      </c>
      <c r="H35" s="22"/>
      <c r="I35" s="25" t="s">
        <v>207</v>
      </c>
      <c r="J35" s="22"/>
      <c r="K35" s="24"/>
      <c r="L35" s="22"/>
      <c r="M35" s="24"/>
      <c r="N35" s="22"/>
    </row>
    <row r="36" spans="1:14" ht="18" customHeight="1">
      <c r="A36" s="23" t="s">
        <v>178</v>
      </c>
      <c r="B36" s="22"/>
      <c r="C36" s="23" t="s">
        <v>178</v>
      </c>
      <c r="D36" s="22"/>
      <c r="E36" s="23" t="s">
        <v>178</v>
      </c>
      <c r="F36" s="22"/>
      <c r="G36" s="23" t="s">
        <v>178</v>
      </c>
      <c r="H36" s="22"/>
      <c r="I36" s="23" t="s">
        <v>178</v>
      </c>
      <c r="J36" s="22"/>
      <c r="K36" s="23" t="s">
        <v>178</v>
      </c>
      <c r="L36" s="22"/>
      <c r="M36" s="23" t="s">
        <v>178</v>
      </c>
      <c r="N36" s="22"/>
    </row>
    <row r="37" spans="1:14" ht="18" customHeight="1">
      <c r="A37" s="21" t="s">
        <v>264</v>
      </c>
      <c r="B37" s="22"/>
      <c r="C37" s="21" t="s">
        <v>264</v>
      </c>
      <c r="D37" s="22"/>
      <c r="E37" s="21" t="s">
        <v>264</v>
      </c>
      <c r="F37" s="22"/>
      <c r="G37" s="21" t="s">
        <v>264</v>
      </c>
      <c r="H37" s="22"/>
      <c r="I37" s="21" t="s">
        <v>264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192</v>
      </c>
      <c r="B40" s="22"/>
      <c r="C40" s="30" t="s">
        <v>192</v>
      </c>
      <c r="D40" s="22"/>
      <c r="E40" s="30" t="s">
        <v>192</v>
      </c>
      <c r="F40" s="22"/>
      <c r="G40" s="30" t="s">
        <v>192</v>
      </c>
      <c r="H40" s="22"/>
      <c r="I40" s="30" t="s">
        <v>192</v>
      </c>
      <c r="J40" s="22"/>
      <c r="K40" s="30" t="s">
        <v>192</v>
      </c>
      <c r="L40" s="22"/>
      <c r="M40" s="30" t="s">
        <v>192</v>
      </c>
      <c r="N40" s="22"/>
    </row>
    <row r="41" spans="1:14" ht="18" customHeight="1">
      <c r="A41" s="61" t="s">
        <v>274</v>
      </c>
      <c r="B41" s="31"/>
      <c r="C41" s="61" t="s">
        <v>272</v>
      </c>
      <c r="D41" s="31"/>
      <c r="E41" s="61" t="s">
        <v>270</v>
      </c>
      <c r="F41" s="31"/>
      <c r="G41" s="61" t="s">
        <v>201</v>
      </c>
      <c r="H41" s="31"/>
      <c r="I41" s="61" t="s">
        <v>270</v>
      </c>
      <c r="J41" s="31"/>
      <c r="K41" s="61" t="s">
        <v>270</v>
      </c>
      <c r="L41" s="31"/>
      <c r="M41" s="61" t="s">
        <v>185</v>
      </c>
      <c r="N41" s="31"/>
    </row>
    <row r="42" spans="1:14" ht="18" customHeight="1">
      <c r="A42" s="2">
        <f>IF(M33="","",IF(MONTH(M33+1)&lt;&gt;MONTH($A$1),"",M33+1))</f>
        <v>46139</v>
      </c>
      <c r="B42" s="3"/>
      <c r="C42" s="2">
        <f>IF(A42="","",IF(MONTH(A42+1)&lt;&gt;MONTH($A$1),"",A42+1))</f>
        <v>46140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6" t="s">
        <v>187</v>
      </c>
      <c r="B43" s="22"/>
      <c r="C43" s="26" t="s">
        <v>187</v>
      </c>
      <c r="D43" s="22"/>
      <c r="E43" s="26" t="s">
        <v>187</v>
      </c>
      <c r="F43" s="22"/>
      <c r="G43" s="26" t="s">
        <v>187</v>
      </c>
      <c r="H43" s="22"/>
      <c r="I43" s="26" t="s">
        <v>282</v>
      </c>
      <c r="J43" s="22"/>
      <c r="K43" s="26" t="s">
        <v>190</v>
      </c>
      <c r="L43" s="22"/>
      <c r="M43" s="26" t="s">
        <v>190</v>
      </c>
      <c r="N43" s="22"/>
    </row>
    <row r="44" spans="1:14" ht="18" customHeight="1">
      <c r="A44" s="25" t="s">
        <v>219</v>
      </c>
      <c r="B44" s="22"/>
      <c r="C44" s="25" t="s">
        <v>219</v>
      </c>
      <c r="D44" s="22"/>
      <c r="E44" s="25" t="s">
        <v>219</v>
      </c>
      <c r="F44" s="22"/>
      <c r="G44" s="25" t="s">
        <v>219</v>
      </c>
      <c r="H44" s="22"/>
      <c r="I44" s="25" t="s">
        <v>219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21" t="s">
        <v>196</v>
      </c>
      <c r="B46" s="22"/>
      <c r="C46" s="21" t="s">
        <v>196</v>
      </c>
      <c r="D46" s="22"/>
      <c r="E46" s="21" t="s">
        <v>196</v>
      </c>
      <c r="F46" s="22"/>
      <c r="G46" s="21" t="s">
        <v>196</v>
      </c>
      <c r="H46" s="22"/>
      <c r="I46" s="21" t="s">
        <v>196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176</v>
      </c>
      <c r="B49" s="22"/>
      <c r="C49" s="30" t="s">
        <v>176</v>
      </c>
      <c r="D49" s="22"/>
      <c r="E49" s="30" t="s">
        <v>176</v>
      </c>
      <c r="F49" s="22"/>
      <c r="G49" s="30" t="s">
        <v>176</v>
      </c>
      <c r="H49" s="22"/>
      <c r="I49" s="30" t="s">
        <v>176</v>
      </c>
      <c r="J49" s="22"/>
      <c r="K49" s="30" t="s">
        <v>176</v>
      </c>
      <c r="L49" s="22"/>
      <c r="M49" s="30" t="s">
        <v>176</v>
      </c>
      <c r="N49" s="22"/>
    </row>
    <row r="50" spans="1:14" ht="18" customHeight="1">
      <c r="A50" s="61" t="s">
        <v>204</v>
      </c>
      <c r="B50" s="31"/>
      <c r="C50" s="61" t="s">
        <v>203</v>
      </c>
      <c r="D50" s="31"/>
      <c r="E50" s="61" t="s">
        <v>283</v>
      </c>
      <c r="F50" s="31"/>
      <c r="G50" s="61" t="s">
        <v>271</v>
      </c>
      <c r="H50" s="31"/>
      <c r="I50" s="61"/>
      <c r="J50" s="31"/>
      <c r="K50" s="61"/>
      <c r="L50" s="31"/>
      <c r="M50" s="61"/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M10:N10"/>
    <mergeCell ref="M18:N18"/>
    <mergeCell ref="M17:N17"/>
    <mergeCell ref="M22:N22"/>
    <mergeCell ref="M23:N23"/>
    <mergeCell ref="M20:N20"/>
    <mergeCell ref="K1:N1"/>
    <mergeCell ref="M3:N3"/>
    <mergeCell ref="K3:L3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workbookViewId="0">
      <selection activeCell="G36" sqref="G36:H3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EDATE('©'!A17,46)</f>
        <v>46143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MAY 2026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46146</v>
      </c>
      <c r="B5" s="51"/>
      <c r="C5" s="50">
        <f>C15</f>
        <v>46147</v>
      </c>
      <c r="D5" s="51"/>
      <c r="E5" s="50">
        <f>E15</f>
        <v>46148</v>
      </c>
      <c r="F5" s="51"/>
      <c r="G5" s="50">
        <f>G15</f>
        <v>46149</v>
      </c>
      <c r="H5" s="51"/>
      <c r="I5" s="50">
        <f>I15</f>
        <v>46150</v>
      </c>
      <c r="J5" s="51"/>
      <c r="K5" s="50">
        <f>K15</f>
        <v>46151</v>
      </c>
      <c r="L5" s="51"/>
      <c r="M5" s="50">
        <f>M15</f>
        <v>46152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46143</v>
      </c>
      <c r="J6" s="3"/>
      <c r="K6" s="4">
        <f>IF(I6="",IF(WEEKDAY($A$1,1)=MOD(startday,7)+5,$A$1,""),I6+1)</f>
        <v>46144</v>
      </c>
      <c r="L6" s="5"/>
      <c r="M6" s="4">
        <f>IF(K6="",IF(WEEKDAY($A$1,1)=MOD(startday+5,7)+1,$A$1,""),K6+1)</f>
        <v>46145</v>
      </c>
      <c r="N6" s="5"/>
    </row>
    <row r="7" spans="1:14" ht="18" customHeight="1">
      <c r="A7" s="26" t="s">
        <v>187</v>
      </c>
      <c r="B7" s="22"/>
      <c r="C7" s="26" t="s">
        <v>187</v>
      </c>
      <c r="D7" s="22"/>
      <c r="E7" s="26" t="s">
        <v>187</v>
      </c>
      <c r="F7" s="22"/>
      <c r="G7" s="26" t="s">
        <v>187</v>
      </c>
      <c r="H7" s="22"/>
      <c r="I7" s="26" t="s">
        <v>284</v>
      </c>
      <c r="J7" s="22"/>
      <c r="K7" s="26" t="s">
        <v>190</v>
      </c>
      <c r="L7" s="22"/>
      <c r="M7" s="26" t="s">
        <v>190</v>
      </c>
      <c r="N7" s="22"/>
    </row>
    <row r="8" spans="1:14" ht="18" customHeight="1">
      <c r="A8" s="25" t="s">
        <v>219</v>
      </c>
      <c r="B8" s="22"/>
      <c r="C8" s="25" t="s">
        <v>219</v>
      </c>
      <c r="D8" s="22"/>
      <c r="E8" s="25" t="s">
        <v>219</v>
      </c>
      <c r="F8" s="22"/>
      <c r="G8" s="25" t="s">
        <v>219</v>
      </c>
      <c r="H8" s="22"/>
      <c r="I8" s="25" t="s">
        <v>219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21" t="s">
        <v>196</v>
      </c>
      <c r="B10" s="22"/>
      <c r="C10" s="21" t="s">
        <v>196</v>
      </c>
      <c r="D10" s="22"/>
      <c r="E10" s="21" t="s">
        <v>196</v>
      </c>
      <c r="F10" s="22"/>
      <c r="G10" s="21" t="s">
        <v>196</v>
      </c>
      <c r="H10" s="22"/>
      <c r="I10" s="21" t="s">
        <v>196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176</v>
      </c>
      <c r="B13" s="22"/>
      <c r="C13" s="30" t="s">
        <v>176</v>
      </c>
      <c r="D13" s="22"/>
      <c r="E13" s="30" t="s">
        <v>176</v>
      </c>
      <c r="F13" s="22"/>
      <c r="G13" s="30" t="s">
        <v>176</v>
      </c>
      <c r="H13" s="22"/>
      <c r="I13" s="30" t="s">
        <v>176</v>
      </c>
      <c r="J13" s="22"/>
      <c r="K13" s="30" t="s">
        <v>176</v>
      </c>
      <c r="L13" s="22"/>
      <c r="M13" s="30" t="s">
        <v>176</v>
      </c>
      <c r="N13" s="22"/>
    </row>
    <row r="14" spans="1:14" ht="18" customHeight="1">
      <c r="A14" s="61"/>
      <c r="B14" s="31"/>
      <c r="C14" s="61"/>
      <c r="D14" s="31"/>
      <c r="E14" s="61"/>
      <c r="F14" s="31"/>
      <c r="G14" s="61"/>
      <c r="H14" s="31"/>
      <c r="I14" s="61" t="s">
        <v>204</v>
      </c>
      <c r="J14" s="31"/>
      <c r="K14" s="61" t="s">
        <v>285</v>
      </c>
      <c r="L14" s="31"/>
      <c r="M14" s="61" t="s">
        <v>286</v>
      </c>
      <c r="N14" s="31"/>
    </row>
    <row r="15" spans="1:14" ht="18" customHeight="1">
      <c r="A15" s="2">
        <f>M6+1</f>
        <v>46146</v>
      </c>
      <c r="B15" s="3"/>
      <c r="C15" s="2">
        <f>A15+1</f>
        <v>46147</v>
      </c>
      <c r="D15" s="3"/>
      <c r="E15" s="2">
        <f>C15+1</f>
        <v>46148</v>
      </c>
      <c r="F15" s="3"/>
      <c r="G15" s="2">
        <f>E15+1</f>
        <v>46149</v>
      </c>
      <c r="H15" s="3"/>
      <c r="I15" s="2">
        <f>G15+1</f>
        <v>46150</v>
      </c>
      <c r="J15" s="3"/>
      <c r="K15" s="4">
        <f>I15+1</f>
        <v>46151</v>
      </c>
      <c r="L15" s="5"/>
      <c r="M15" s="4">
        <f>K15+1</f>
        <v>46152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5" t="s">
        <v>176</v>
      </c>
      <c r="B17" s="43"/>
      <c r="C17" s="25" t="s">
        <v>176</v>
      </c>
      <c r="D17" s="43"/>
      <c r="E17" s="25" t="s">
        <v>176</v>
      </c>
      <c r="F17" s="43"/>
      <c r="G17" s="25" t="s">
        <v>176</v>
      </c>
      <c r="H17" s="43"/>
      <c r="I17" s="25" t="s">
        <v>176</v>
      </c>
      <c r="J17" s="43"/>
      <c r="K17" s="24"/>
      <c r="L17" s="22"/>
      <c r="M17" s="24"/>
      <c r="N17" s="22"/>
    </row>
    <row r="18" spans="1:14" ht="18" customHeight="1">
      <c r="A18" s="23" t="s">
        <v>264</v>
      </c>
      <c r="B18" s="22"/>
      <c r="C18" s="23" t="s">
        <v>264</v>
      </c>
      <c r="D18" s="22"/>
      <c r="E18" s="23" t="s">
        <v>264</v>
      </c>
      <c r="F18" s="22"/>
      <c r="G18" s="23" t="s">
        <v>264</v>
      </c>
      <c r="H18" s="22"/>
      <c r="I18" s="23" t="s">
        <v>264</v>
      </c>
      <c r="J18" s="22"/>
      <c r="K18" s="23" t="s">
        <v>264</v>
      </c>
      <c r="L18" s="22"/>
      <c r="M18" s="23" t="s">
        <v>264</v>
      </c>
      <c r="N18" s="22"/>
    </row>
    <row r="19" spans="1:14" ht="18" customHeight="1">
      <c r="A19" s="21" t="s">
        <v>200</v>
      </c>
      <c r="B19" s="22"/>
      <c r="C19" s="21" t="s">
        <v>200</v>
      </c>
      <c r="D19" s="22"/>
      <c r="E19" s="21" t="s">
        <v>200</v>
      </c>
      <c r="F19" s="22"/>
      <c r="G19" s="21" t="s">
        <v>200</v>
      </c>
      <c r="H19" s="22"/>
      <c r="I19" s="21" t="s">
        <v>200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191</v>
      </c>
      <c r="B22" s="22"/>
      <c r="C22" s="30" t="s">
        <v>191</v>
      </c>
      <c r="D22" s="22"/>
      <c r="E22" s="30" t="s">
        <v>191</v>
      </c>
      <c r="F22" s="22"/>
      <c r="G22" s="30" t="s">
        <v>191</v>
      </c>
      <c r="H22" s="22"/>
      <c r="I22" s="30" t="s">
        <v>191</v>
      </c>
      <c r="J22" s="22"/>
      <c r="K22" s="30" t="s">
        <v>191</v>
      </c>
      <c r="L22" s="22"/>
      <c r="M22" s="30" t="s">
        <v>191</v>
      </c>
      <c r="N22" s="22"/>
    </row>
    <row r="23" spans="1:14" ht="18" customHeight="1">
      <c r="A23" s="61" t="s">
        <v>202</v>
      </c>
      <c r="B23" s="31"/>
      <c r="C23" s="61" t="s">
        <v>211</v>
      </c>
      <c r="D23" s="31"/>
      <c r="E23" s="61" t="s">
        <v>287</v>
      </c>
      <c r="F23" s="31"/>
      <c r="G23" s="61" t="s">
        <v>271</v>
      </c>
      <c r="H23" s="31"/>
      <c r="I23" s="61" t="s">
        <v>204</v>
      </c>
      <c r="J23" s="31"/>
      <c r="K23" s="61" t="s">
        <v>288</v>
      </c>
      <c r="L23" s="31"/>
      <c r="M23" s="61" t="s">
        <v>203</v>
      </c>
      <c r="N23" s="31"/>
    </row>
    <row r="24" spans="1:14" ht="18" customHeight="1">
      <c r="A24" s="2">
        <f>M15+1</f>
        <v>46153</v>
      </c>
      <c r="B24" s="3"/>
      <c r="C24" s="2">
        <f>A24+1</f>
        <v>46154</v>
      </c>
      <c r="D24" s="3"/>
      <c r="E24" s="2">
        <f>C24+1</f>
        <v>46155</v>
      </c>
      <c r="F24" s="3"/>
      <c r="G24" s="2">
        <f>E24+1</f>
        <v>46156</v>
      </c>
      <c r="H24" s="3"/>
      <c r="I24" s="2">
        <f>G24+1</f>
        <v>46157</v>
      </c>
      <c r="J24" s="3"/>
      <c r="K24" s="4">
        <f>I24+1</f>
        <v>46158</v>
      </c>
      <c r="L24" s="5"/>
      <c r="M24" s="4">
        <f>K24+1</f>
        <v>46159</v>
      </c>
      <c r="N24" s="5"/>
    </row>
    <row r="25" spans="1:14" ht="18" customHeight="1">
      <c r="A25" s="26" t="s">
        <v>199</v>
      </c>
      <c r="B25" s="22"/>
      <c r="C25" s="26" t="s">
        <v>199</v>
      </c>
      <c r="D25" s="22"/>
      <c r="E25" s="26" t="s">
        <v>199</v>
      </c>
      <c r="F25" s="22"/>
      <c r="G25" s="26" t="s">
        <v>199</v>
      </c>
      <c r="H25" s="22"/>
      <c r="I25" s="26" t="s">
        <v>199</v>
      </c>
      <c r="J25" s="22"/>
      <c r="K25" s="26" t="s">
        <v>199</v>
      </c>
      <c r="L25" s="22"/>
      <c r="M25" s="26" t="s">
        <v>199</v>
      </c>
      <c r="N25" s="22"/>
    </row>
    <row r="26" spans="1:14" ht="18" customHeight="1">
      <c r="A26" s="25" t="s">
        <v>192</v>
      </c>
      <c r="B26" s="22"/>
      <c r="C26" s="25" t="s">
        <v>192</v>
      </c>
      <c r="D26" s="22"/>
      <c r="E26" s="25" t="s">
        <v>192</v>
      </c>
      <c r="F26" s="22"/>
      <c r="G26" s="25" t="s">
        <v>192</v>
      </c>
      <c r="H26" s="22"/>
      <c r="I26" s="25" t="s">
        <v>192</v>
      </c>
      <c r="J26" s="22"/>
      <c r="K26" s="24"/>
      <c r="L26" s="22"/>
      <c r="M26" s="24"/>
      <c r="N26" s="22"/>
    </row>
    <row r="27" spans="1:14" ht="18" customHeight="1">
      <c r="A27" s="23" t="s">
        <v>196</v>
      </c>
      <c r="B27" s="22"/>
      <c r="C27" s="23" t="s">
        <v>196</v>
      </c>
      <c r="D27" s="22"/>
      <c r="E27" s="23" t="s">
        <v>196</v>
      </c>
      <c r="F27" s="22"/>
      <c r="G27" s="23" t="s">
        <v>196</v>
      </c>
      <c r="H27" s="22"/>
      <c r="I27" s="23" t="s">
        <v>196</v>
      </c>
      <c r="J27" s="22"/>
      <c r="K27" s="23" t="s">
        <v>196</v>
      </c>
      <c r="L27" s="22"/>
      <c r="M27" s="23" t="s">
        <v>196</v>
      </c>
      <c r="N27" s="22"/>
    </row>
    <row r="28" spans="1:14" ht="18" customHeight="1">
      <c r="A28" s="21" t="s">
        <v>178</v>
      </c>
      <c r="B28" s="22"/>
      <c r="C28" s="21" t="s">
        <v>178</v>
      </c>
      <c r="D28" s="22"/>
      <c r="E28" s="21" t="s">
        <v>178</v>
      </c>
      <c r="F28" s="22"/>
      <c r="G28" s="21" t="s">
        <v>178</v>
      </c>
      <c r="H28" s="22"/>
      <c r="I28" s="21" t="s">
        <v>178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174</v>
      </c>
      <c r="B31" s="22"/>
      <c r="C31" s="30" t="s">
        <v>174</v>
      </c>
      <c r="D31" s="22"/>
      <c r="E31" s="30" t="s">
        <v>174</v>
      </c>
      <c r="F31" s="22"/>
      <c r="G31" s="30" t="s">
        <v>174</v>
      </c>
      <c r="H31" s="22"/>
      <c r="I31" s="30" t="s">
        <v>174</v>
      </c>
      <c r="J31" s="22"/>
      <c r="K31" s="30" t="s">
        <v>174</v>
      </c>
      <c r="L31" s="22"/>
      <c r="M31" s="30" t="s">
        <v>174</v>
      </c>
      <c r="N31" s="22"/>
    </row>
    <row r="32" spans="1:14" ht="18" customHeight="1">
      <c r="A32" s="61" t="s">
        <v>274</v>
      </c>
      <c r="B32" s="31"/>
      <c r="C32" s="61" t="s">
        <v>287</v>
      </c>
      <c r="D32" s="31"/>
      <c r="E32" s="61" t="s">
        <v>204</v>
      </c>
      <c r="F32" s="31"/>
      <c r="G32" s="61" t="s">
        <v>272</v>
      </c>
      <c r="H32" s="31"/>
      <c r="I32" s="61" t="s">
        <v>274</v>
      </c>
      <c r="J32" s="31"/>
      <c r="K32" s="61" t="s">
        <v>289</v>
      </c>
      <c r="L32" s="31"/>
      <c r="M32" s="61" t="s">
        <v>201</v>
      </c>
      <c r="N32" s="31"/>
    </row>
    <row r="33" spans="1:14" ht="18" customHeight="1">
      <c r="A33" s="2">
        <f>M24+1</f>
        <v>46160</v>
      </c>
      <c r="B33" s="3"/>
      <c r="C33" s="2">
        <f>A33+1</f>
        <v>46161</v>
      </c>
      <c r="D33" s="3"/>
      <c r="E33" s="2">
        <f>C33+1</f>
        <v>46162</v>
      </c>
      <c r="F33" s="3"/>
      <c r="G33" s="2">
        <f>E33+1</f>
        <v>46163</v>
      </c>
      <c r="H33" s="3"/>
      <c r="I33" s="2">
        <f>G33+1</f>
        <v>46164</v>
      </c>
      <c r="J33" s="3"/>
      <c r="K33" s="4">
        <f>I33+1</f>
        <v>46165</v>
      </c>
      <c r="L33" s="5"/>
      <c r="M33" s="4">
        <f>K33+1</f>
        <v>46166</v>
      </c>
      <c r="N33" s="5"/>
    </row>
    <row r="34" spans="1:14" ht="18" customHeight="1">
      <c r="A34" s="26" t="s">
        <v>290</v>
      </c>
      <c r="B34" s="22"/>
      <c r="C34" s="26" t="s">
        <v>195</v>
      </c>
      <c r="D34" s="22"/>
      <c r="E34" s="26" t="s">
        <v>195</v>
      </c>
      <c r="F34" s="22"/>
      <c r="G34" s="26" t="s">
        <v>195</v>
      </c>
      <c r="H34" s="22"/>
      <c r="I34" s="26" t="s">
        <v>195</v>
      </c>
      <c r="J34" s="22"/>
      <c r="K34" s="26" t="s">
        <v>195</v>
      </c>
      <c r="L34" s="22"/>
      <c r="M34" s="26" t="s">
        <v>195</v>
      </c>
      <c r="N34" s="22"/>
    </row>
    <row r="35" spans="1:14" ht="18" customHeight="1">
      <c r="A35" s="25" t="s">
        <v>174</v>
      </c>
      <c r="B35" s="22"/>
      <c r="C35" s="25" t="s">
        <v>174</v>
      </c>
      <c r="D35" s="22"/>
      <c r="E35" s="25" t="s">
        <v>174</v>
      </c>
      <c r="F35" s="22"/>
      <c r="G35" s="25" t="s">
        <v>174</v>
      </c>
      <c r="H35" s="22"/>
      <c r="I35" s="25" t="s">
        <v>174</v>
      </c>
      <c r="J35" s="22"/>
      <c r="K35" s="24"/>
      <c r="L35" s="22"/>
      <c r="M35" s="24"/>
      <c r="N35" s="22"/>
    </row>
    <row r="36" spans="1:14" ht="18" customHeight="1">
      <c r="A36" s="23" t="s">
        <v>200</v>
      </c>
      <c r="B36" s="22"/>
      <c r="C36" s="23" t="s">
        <v>200</v>
      </c>
      <c r="D36" s="22"/>
      <c r="E36" s="23" t="s">
        <v>200</v>
      </c>
      <c r="F36" s="22"/>
      <c r="G36" s="23" t="s">
        <v>200</v>
      </c>
      <c r="H36" s="22"/>
      <c r="I36" s="23" t="s">
        <v>200</v>
      </c>
      <c r="J36" s="22"/>
      <c r="K36" s="23" t="s">
        <v>200</v>
      </c>
      <c r="L36" s="22"/>
      <c r="M36" s="23" t="s">
        <v>200</v>
      </c>
      <c r="N36" s="22"/>
    </row>
    <row r="37" spans="1:14" ht="18" customHeight="1">
      <c r="A37" s="21" t="s">
        <v>188</v>
      </c>
      <c r="B37" s="22"/>
      <c r="C37" s="21" t="s">
        <v>188</v>
      </c>
      <c r="D37" s="22"/>
      <c r="E37" s="21" t="s">
        <v>188</v>
      </c>
      <c r="F37" s="22"/>
      <c r="G37" s="21" t="s">
        <v>188</v>
      </c>
      <c r="H37" s="22"/>
      <c r="I37" s="21" t="s">
        <v>188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 t="s">
        <v>187</v>
      </c>
      <c r="B40" s="22"/>
      <c r="C40" s="30" t="s">
        <v>187</v>
      </c>
      <c r="D40" s="22"/>
      <c r="E40" s="30" t="s">
        <v>187</v>
      </c>
      <c r="F40" s="22"/>
      <c r="G40" s="30" t="s">
        <v>187</v>
      </c>
      <c r="H40" s="22"/>
      <c r="I40" s="30" t="s">
        <v>187</v>
      </c>
      <c r="J40" s="22"/>
      <c r="K40" s="30" t="s">
        <v>187</v>
      </c>
      <c r="L40" s="22"/>
      <c r="M40" s="30" t="s">
        <v>187</v>
      </c>
      <c r="N40" s="22"/>
    </row>
    <row r="41" spans="1:14" ht="18" customHeight="1">
      <c r="A41" s="61" t="s">
        <v>183</v>
      </c>
      <c r="B41" s="31"/>
      <c r="C41" s="61" t="s">
        <v>271</v>
      </c>
      <c r="D41" s="31"/>
      <c r="E41" s="61" t="s">
        <v>280</v>
      </c>
      <c r="F41" s="31"/>
      <c r="G41" s="61" t="s">
        <v>287</v>
      </c>
      <c r="H41" s="31"/>
      <c r="I41" s="61" t="s">
        <v>201</v>
      </c>
      <c r="J41" s="31"/>
      <c r="K41" s="61" t="s">
        <v>201</v>
      </c>
      <c r="L41" s="31"/>
      <c r="M41" s="61" t="s">
        <v>287</v>
      </c>
      <c r="N41" s="31"/>
    </row>
    <row r="42" spans="1:14" ht="18" customHeight="1">
      <c r="A42" s="2">
        <f>IF(M33="","",IF(MONTH(M33+1)&lt;&gt;MONTH($A$1),"",M33+1))</f>
        <v>46167</v>
      </c>
      <c r="B42" s="3" t="s">
        <v>291</v>
      </c>
      <c r="C42" s="2">
        <f>IF(A42="","",IF(MONTH(A42+1)&lt;&gt;MONTH($A$1),"",A42+1))</f>
        <v>46168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26" t="s">
        <v>195</v>
      </c>
      <c r="B43" s="22"/>
      <c r="C43" s="26" t="s">
        <v>187</v>
      </c>
      <c r="D43" s="22"/>
      <c r="E43" s="26" t="s">
        <v>187</v>
      </c>
      <c r="F43" s="22"/>
      <c r="G43" s="26" t="s">
        <v>187</v>
      </c>
      <c r="H43" s="22"/>
      <c r="I43" s="26" t="s">
        <v>187</v>
      </c>
      <c r="J43" s="22"/>
      <c r="K43" s="26" t="s">
        <v>187</v>
      </c>
      <c r="L43" s="22"/>
      <c r="M43" s="26" t="s">
        <v>187</v>
      </c>
      <c r="N43" s="22"/>
    </row>
    <row r="44" spans="1:14" ht="18" customHeight="1">
      <c r="A44" s="25"/>
      <c r="B44" s="22"/>
      <c r="C44" s="25" t="s">
        <v>174</v>
      </c>
      <c r="D44" s="22"/>
      <c r="E44" s="25" t="s">
        <v>174</v>
      </c>
      <c r="F44" s="22"/>
      <c r="G44" s="25" t="s">
        <v>174</v>
      </c>
      <c r="H44" s="22"/>
      <c r="I44" s="25" t="s">
        <v>174</v>
      </c>
      <c r="J44" s="22"/>
      <c r="K44" s="25" t="s">
        <v>174</v>
      </c>
      <c r="L44" s="22"/>
      <c r="M44" s="25" t="s">
        <v>174</v>
      </c>
      <c r="N44" s="22"/>
    </row>
    <row r="45" spans="1:14" ht="18" customHeight="1">
      <c r="A45" s="23" t="s">
        <v>188</v>
      </c>
      <c r="B45" s="22"/>
      <c r="C45" s="23" t="s">
        <v>188</v>
      </c>
      <c r="D45" s="22"/>
      <c r="E45" s="23" t="s">
        <v>188</v>
      </c>
      <c r="F45" s="22"/>
      <c r="G45" s="23" t="s">
        <v>188</v>
      </c>
      <c r="H45" s="22"/>
      <c r="I45" s="23" t="s">
        <v>188</v>
      </c>
      <c r="J45" s="22"/>
      <c r="K45" s="23" t="s">
        <v>188</v>
      </c>
      <c r="L45" s="22"/>
      <c r="M45" s="23" t="s">
        <v>188</v>
      </c>
      <c r="N45" s="22"/>
    </row>
    <row r="46" spans="1:14" ht="18" customHeight="1">
      <c r="A46" s="21"/>
      <c r="B46" s="22"/>
      <c r="C46" s="21" t="s">
        <v>264</v>
      </c>
      <c r="D46" s="22"/>
      <c r="E46" s="21" t="s">
        <v>264</v>
      </c>
      <c r="F46" s="22"/>
      <c r="G46" s="21" t="s">
        <v>264</v>
      </c>
      <c r="H46" s="22"/>
      <c r="I46" s="21" t="s">
        <v>264</v>
      </c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 t="s">
        <v>207</v>
      </c>
      <c r="B49" s="22"/>
      <c r="C49" s="30" t="s">
        <v>207</v>
      </c>
      <c r="D49" s="22"/>
      <c r="E49" s="30" t="s">
        <v>207</v>
      </c>
      <c r="F49" s="22"/>
      <c r="G49" s="30" t="s">
        <v>207</v>
      </c>
      <c r="H49" s="22"/>
      <c r="I49" s="30" t="s">
        <v>207</v>
      </c>
      <c r="J49" s="22"/>
      <c r="K49" s="30" t="s">
        <v>207</v>
      </c>
      <c r="L49" s="22"/>
      <c r="M49" s="30" t="s">
        <v>207</v>
      </c>
      <c r="N49" s="22"/>
    </row>
    <row r="50" spans="1:14" ht="18" customHeight="1">
      <c r="A50" s="61" t="s">
        <v>204</v>
      </c>
      <c r="B50" s="31"/>
      <c r="C50" s="61" t="s">
        <v>201</v>
      </c>
      <c r="D50" s="31"/>
      <c r="E50" s="61" t="s">
        <v>203</v>
      </c>
      <c r="F50" s="31"/>
      <c r="G50" s="61" t="s">
        <v>271</v>
      </c>
      <c r="H50" s="31"/>
      <c r="I50" s="61" t="s">
        <v>203</v>
      </c>
      <c r="J50" s="31"/>
      <c r="K50" s="61" t="s">
        <v>203</v>
      </c>
      <c r="L50" s="31"/>
      <c r="M50" s="61" t="s">
        <v>201</v>
      </c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abSelected="1" topLeftCell="A4" workbookViewId="0">
      <selection activeCell="G18" sqref="G18:H1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3">
        <f>EDATE('©'!A17,47)</f>
        <v>46174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166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167</v>
      </c>
      <c r="B3" s="36"/>
      <c r="C3" s="25" t="s">
        <v>168</v>
      </c>
      <c r="D3" s="36"/>
      <c r="E3" s="23" t="s">
        <v>169</v>
      </c>
      <c r="F3" s="36"/>
      <c r="G3" s="21" t="s">
        <v>170</v>
      </c>
      <c r="H3" s="36"/>
      <c r="I3" s="59" t="s">
        <v>171</v>
      </c>
      <c r="J3" s="36"/>
      <c r="K3" s="29" t="s">
        <v>172</v>
      </c>
      <c r="L3" s="36"/>
      <c r="M3" s="30" t="s">
        <v>173</v>
      </c>
      <c r="N3" s="36"/>
    </row>
    <row r="4" spans="1:14" ht="69" customHeight="1">
      <c r="A4" s="48" t="str">
        <f>UPPER(TEXT(A1,"mmmm yyyy"))</f>
        <v>JUNE 2026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8" customHeight="1">
      <c r="A5" s="50">
        <f>A15</f>
        <v>46181</v>
      </c>
      <c r="B5" s="51"/>
      <c r="C5" s="50">
        <f>C15</f>
        <v>46182</v>
      </c>
      <c r="D5" s="51"/>
      <c r="E5" s="50">
        <f>E15</f>
        <v>46183</v>
      </c>
      <c r="F5" s="51"/>
      <c r="G5" s="50">
        <f>G15</f>
        <v>46184</v>
      </c>
      <c r="H5" s="51"/>
      <c r="I5" s="50">
        <f>I15</f>
        <v>46185</v>
      </c>
      <c r="J5" s="51"/>
      <c r="K5" s="50">
        <f>K15</f>
        <v>46186</v>
      </c>
      <c r="L5" s="51"/>
      <c r="M5" s="50">
        <f>M15</f>
        <v>46187</v>
      </c>
      <c r="N5" s="51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8" customHeight="1">
      <c r="A7" s="26" t="s">
        <v>174</v>
      </c>
      <c r="B7" s="22"/>
      <c r="C7" s="26" t="s">
        <v>174</v>
      </c>
      <c r="D7" s="22"/>
      <c r="E7" s="26" t="s">
        <v>174</v>
      </c>
      <c r="F7" s="22"/>
      <c r="G7" s="26" t="s">
        <v>174</v>
      </c>
      <c r="H7" s="22"/>
      <c r="I7" s="26" t="s">
        <v>174</v>
      </c>
      <c r="J7" s="22"/>
      <c r="K7" s="26" t="s">
        <v>174</v>
      </c>
      <c r="L7" s="22"/>
      <c r="M7" s="26" t="s">
        <v>174</v>
      </c>
      <c r="N7" s="22"/>
    </row>
    <row r="8" spans="1:14" ht="18" customHeight="1">
      <c r="A8" s="25" t="s">
        <v>187</v>
      </c>
      <c r="B8" s="22"/>
      <c r="C8" s="25" t="s">
        <v>187</v>
      </c>
      <c r="D8" s="22"/>
      <c r="E8" s="25" t="s">
        <v>187</v>
      </c>
      <c r="F8" s="22"/>
      <c r="G8" s="25" t="s">
        <v>187</v>
      </c>
      <c r="H8" s="22"/>
      <c r="I8" s="25" t="s">
        <v>187</v>
      </c>
      <c r="J8" s="22"/>
      <c r="K8" s="25"/>
      <c r="L8" s="22"/>
      <c r="M8" s="25"/>
      <c r="N8" s="22"/>
    </row>
    <row r="9" spans="1:14" ht="18" customHeight="1">
      <c r="A9" s="23" t="s">
        <v>196</v>
      </c>
      <c r="B9" s="22"/>
      <c r="C9" s="23" t="s">
        <v>196</v>
      </c>
      <c r="D9" s="22"/>
      <c r="E9" s="23" t="s">
        <v>196</v>
      </c>
      <c r="F9" s="22"/>
      <c r="G9" s="23" t="s">
        <v>196</v>
      </c>
      <c r="H9" s="22"/>
      <c r="I9" s="23" t="s">
        <v>196</v>
      </c>
      <c r="J9" s="22"/>
      <c r="K9" s="23" t="s">
        <v>196</v>
      </c>
      <c r="L9" s="22"/>
      <c r="M9" s="23" t="s">
        <v>196</v>
      </c>
      <c r="N9" s="22"/>
    </row>
    <row r="10" spans="1:14" ht="18" customHeight="1">
      <c r="A10" s="21" t="s">
        <v>200</v>
      </c>
      <c r="B10" s="22"/>
      <c r="C10" s="21" t="s">
        <v>200</v>
      </c>
      <c r="D10" s="22"/>
      <c r="E10" s="21" t="s">
        <v>200</v>
      </c>
      <c r="F10" s="22"/>
      <c r="G10" s="21" t="s">
        <v>200</v>
      </c>
      <c r="H10" s="22"/>
      <c r="I10" s="21" t="s">
        <v>200</v>
      </c>
      <c r="J10" s="22"/>
      <c r="K10" s="27"/>
      <c r="L10" s="22"/>
      <c r="M10" s="27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/>
      <c r="N12" s="22"/>
    </row>
    <row r="13" spans="1:14" ht="18" customHeight="1">
      <c r="A13" s="30" t="s">
        <v>207</v>
      </c>
      <c r="B13" s="22"/>
      <c r="C13" s="30" t="s">
        <v>207</v>
      </c>
      <c r="D13" s="22"/>
      <c r="E13" s="30" t="s">
        <v>207</v>
      </c>
      <c r="F13" s="22"/>
      <c r="G13" s="30" t="s">
        <v>207</v>
      </c>
      <c r="H13" s="22"/>
      <c r="I13" s="30" t="s">
        <v>207</v>
      </c>
      <c r="J13" s="22"/>
      <c r="K13" s="30" t="s">
        <v>207</v>
      </c>
      <c r="L13" s="22"/>
      <c r="M13" s="30" t="s">
        <v>207</v>
      </c>
      <c r="N13" s="22"/>
    </row>
    <row r="14" spans="1:14" ht="18" customHeight="1">
      <c r="A14" s="61" t="s">
        <v>203</v>
      </c>
      <c r="B14" s="31"/>
      <c r="C14" s="61" t="s">
        <v>204</v>
      </c>
      <c r="D14" s="31"/>
      <c r="E14" s="61" t="s">
        <v>292</v>
      </c>
      <c r="F14" s="31"/>
      <c r="G14" s="61" t="s">
        <v>201</v>
      </c>
      <c r="H14" s="31"/>
      <c r="I14" s="61" t="s">
        <v>271</v>
      </c>
      <c r="J14" s="31"/>
      <c r="K14" s="61" t="s">
        <v>293</v>
      </c>
      <c r="L14" s="31"/>
      <c r="M14" s="61" t="s">
        <v>201</v>
      </c>
      <c r="N14" s="31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8" customHeight="1">
      <c r="A16" s="45" t="s">
        <v>294</v>
      </c>
      <c r="B16" s="46"/>
      <c r="C16" s="45" t="s">
        <v>294</v>
      </c>
      <c r="D16" s="46"/>
      <c r="E16" s="45" t="s">
        <v>294</v>
      </c>
      <c r="F16" s="46"/>
      <c r="G16" s="45" t="s">
        <v>294</v>
      </c>
      <c r="H16" s="46"/>
      <c r="I16" s="45" t="s">
        <v>294</v>
      </c>
      <c r="J16" s="46"/>
      <c r="K16" s="45" t="s">
        <v>294</v>
      </c>
      <c r="L16" s="46"/>
      <c r="M16" s="45" t="s">
        <v>294</v>
      </c>
      <c r="N16" s="46"/>
    </row>
    <row r="17" spans="1:14" ht="18" customHeight="1">
      <c r="A17" s="25" t="s">
        <v>176</v>
      </c>
      <c r="B17" s="43"/>
      <c r="C17" s="25" t="s">
        <v>176</v>
      </c>
      <c r="D17" s="43"/>
      <c r="E17" s="25" t="s">
        <v>176</v>
      </c>
      <c r="F17" s="43"/>
      <c r="G17" s="25" t="s">
        <v>176</v>
      </c>
      <c r="H17" s="43"/>
      <c r="I17" s="25" t="s">
        <v>176</v>
      </c>
      <c r="J17" s="43"/>
      <c r="K17" s="24"/>
      <c r="L17" s="22"/>
      <c r="M17" s="24"/>
      <c r="N17" s="22"/>
    </row>
    <row r="18" spans="1:14" ht="18" customHeight="1">
      <c r="A18" s="23" t="s">
        <v>181</v>
      </c>
      <c r="B18" s="22"/>
      <c r="C18" s="23" t="s">
        <v>181</v>
      </c>
      <c r="D18" s="22"/>
      <c r="E18" s="23" t="s">
        <v>181</v>
      </c>
      <c r="F18" s="22"/>
      <c r="G18" s="23" t="s">
        <v>181</v>
      </c>
      <c r="H18" s="22"/>
      <c r="I18" s="23" t="s">
        <v>181</v>
      </c>
      <c r="J18" s="22"/>
      <c r="K18" s="23" t="s">
        <v>181</v>
      </c>
      <c r="L18" s="22"/>
      <c r="M18" s="23" t="s">
        <v>181</v>
      </c>
      <c r="N18" s="22"/>
    </row>
    <row r="19" spans="1:14" ht="18" customHeight="1">
      <c r="A19" s="21" t="s">
        <v>178</v>
      </c>
      <c r="B19" s="22"/>
      <c r="C19" s="21" t="s">
        <v>178</v>
      </c>
      <c r="D19" s="22"/>
      <c r="E19" s="21" t="s">
        <v>178</v>
      </c>
      <c r="F19" s="22"/>
      <c r="G19" s="21" t="s">
        <v>178</v>
      </c>
      <c r="H19" s="22"/>
      <c r="I19" s="21" t="s">
        <v>178</v>
      </c>
      <c r="J19" s="22"/>
      <c r="K19" s="21"/>
      <c r="L19" s="22"/>
      <c r="M19" s="21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28"/>
      <c r="D21" s="22"/>
      <c r="E21" s="29"/>
      <c r="F21" s="22"/>
      <c r="G21" s="28"/>
      <c r="H21" s="22"/>
      <c r="I21" s="28"/>
      <c r="J21" s="22"/>
      <c r="K21" s="28"/>
      <c r="L21" s="22"/>
      <c r="M21" s="28"/>
      <c r="N21" s="22"/>
    </row>
    <row r="22" spans="1:14" ht="18" customHeight="1">
      <c r="A22" s="30" t="s">
        <v>43</v>
      </c>
      <c r="B22" s="22"/>
      <c r="C22" s="30" t="s">
        <v>43</v>
      </c>
      <c r="D22" s="22"/>
      <c r="E22" s="30" t="s">
        <v>43</v>
      </c>
      <c r="F22" s="22"/>
      <c r="G22" s="30" t="s">
        <v>43</v>
      </c>
      <c r="H22" s="22"/>
      <c r="I22" s="30" t="s">
        <v>43</v>
      </c>
      <c r="J22" s="22"/>
      <c r="K22" s="30" t="s">
        <v>43</v>
      </c>
      <c r="L22" s="22"/>
      <c r="M22" s="30" t="s">
        <v>43</v>
      </c>
      <c r="N22" s="22"/>
    </row>
    <row r="23" spans="1:14" ht="18" customHeight="1">
      <c r="A23" s="61" t="s">
        <v>270</v>
      </c>
      <c r="B23" s="31"/>
      <c r="C23" s="61" t="s">
        <v>202</v>
      </c>
      <c r="D23" s="31"/>
      <c r="E23" s="61" t="s">
        <v>204</v>
      </c>
      <c r="F23" s="31"/>
      <c r="G23" s="61" t="s">
        <v>202</v>
      </c>
      <c r="H23" s="31"/>
      <c r="I23" s="61" t="s">
        <v>185</v>
      </c>
      <c r="J23" s="31"/>
      <c r="K23" s="61" t="s">
        <v>295</v>
      </c>
      <c r="L23" s="31"/>
      <c r="M23" s="61" t="s">
        <v>204</v>
      </c>
      <c r="N23" s="31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8" customHeight="1">
      <c r="A25" s="26" t="s">
        <v>192</v>
      </c>
      <c r="B25" s="22"/>
      <c r="C25" s="26" t="s">
        <v>192</v>
      </c>
      <c r="D25" s="22"/>
      <c r="E25" s="26" t="s">
        <v>192</v>
      </c>
      <c r="F25" s="22"/>
      <c r="G25" s="26" t="s">
        <v>192</v>
      </c>
      <c r="H25" s="22"/>
      <c r="I25" s="26" t="s">
        <v>192</v>
      </c>
      <c r="J25" s="22"/>
      <c r="K25" s="26" t="s">
        <v>192</v>
      </c>
      <c r="L25" s="22"/>
      <c r="M25" s="26" t="s">
        <v>192</v>
      </c>
      <c r="N25" s="22"/>
    </row>
    <row r="26" spans="1:14" ht="18" customHeight="1">
      <c r="A26" s="25" t="s">
        <v>207</v>
      </c>
      <c r="B26" s="22"/>
      <c r="C26" s="25" t="s">
        <v>207</v>
      </c>
      <c r="D26" s="22"/>
      <c r="E26" s="25" t="s">
        <v>207</v>
      </c>
      <c r="F26" s="22"/>
      <c r="G26" s="25" t="s">
        <v>207</v>
      </c>
      <c r="H26" s="22"/>
      <c r="I26" s="25" t="s">
        <v>207</v>
      </c>
      <c r="J26" s="22"/>
      <c r="K26" s="24"/>
      <c r="L26" s="22"/>
      <c r="M26" s="24"/>
      <c r="N26" s="22"/>
    </row>
    <row r="27" spans="1:14" ht="18" customHeight="1">
      <c r="A27" s="23" t="s">
        <v>209</v>
      </c>
      <c r="B27" s="22"/>
      <c r="C27" s="23" t="s">
        <v>209</v>
      </c>
      <c r="D27" s="22"/>
      <c r="E27" s="23" t="s">
        <v>209</v>
      </c>
      <c r="F27" s="22"/>
      <c r="G27" s="23" t="s">
        <v>209</v>
      </c>
      <c r="H27" s="22"/>
      <c r="I27" s="23" t="s">
        <v>209</v>
      </c>
      <c r="J27" s="22"/>
      <c r="K27" s="23" t="s">
        <v>209</v>
      </c>
      <c r="L27" s="22"/>
      <c r="M27" s="23" t="s">
        <v>209</v>
      </c>
      <c r="N27" s="22"/>
    </row>
    <row r="28" spans="1:14" ht="18" customHeight="1">
      <c r="A28" s="21" t="s">
        <v>196</v>
      </c>
      <c r="B28" s="22"/>
      <c r="C28" s="21" t="s">
        <v>196</v>
      </c>
      <c r="D28" s="22"/>
      <c r="E28" s="21" t="s">
        <v>196</v>
      </c>
      <c r="F28" s="22"/>
      <c r="G28" s="21" t="s">
        <v>196</v>
      </c>
      <c r="H28" s="22"/>
      <c r="I28" s="21" t="s">
        <v>196</v>
      </c>
      <c r="J28" s="22"/>
      <c r="K28" s="21"/>
      <c r="L28" s="22"/>
      <c r="M28" s="21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28"/>
      <c r="D30" s="22"/>
      <c r="E30" s="29"/>
      <c r="F30" s="22"/>
      <c r="G30" s="28"/>
      <c r="H30" s="22"/>
      <c r="I30" s="28"/>
      <c r="J30" s="22"/>
      <c r="K30" s="28"/>
      <c r="L30" s="22"/>
      <c r="M30" s="28"/>
      <c r="N30" s="22"/>
    </row>
    <row r="31" spans="1:14" ht="18" customHeight="1">
      <c r="A31" s="30" t="s">
        <v>190</v>
      </c>
      <c r="B31" s="22"/>
      <c r="C31" s="30" t="s">
        <v>190</v>
      </c>
      <c r="D31" s="22"/>
      <c r="E31" s="30" t="s">
        <v>190</v>
      </c>
      <c r="F31" s="22"/>
      <c r="G31" s="30" t="s">
        <v>190</v>
      </c>
      <c r="H31" s="22"/>
      <c r="I31" s="30" t="s">
        <v>190</v>
      </c>
      <c r="J31" s="22"/>
      <c r="K31" s="30" t="s">
        <v>190</v>
      </c>
      <c r="L31" s="22"/>
      <c r="M31" s="30" t="s">
        <v>190</v>
      </c>
      <c r="N31" s="22"/>
    </row>
    <row r="32" spans="1:14" ht="18" customHeight="1">
      <c r="A32" s="61" t="s">
        <v>272</v>
      </c>
      <c r="B32" s="31"/>
      <c r="C32" s="61" t="s">
        <v>203</v>
      </c>
      <c r="D32" s="31"/>
      <c r="E32" s="61" t="s">
        <v>271</v>
      </c>
      <c r="F32" s="31"/>
      <c r="G32" s="61" t="s">
        <v>201</v>
      </c>
      <c r="H32" s="31"/>
      <c r="I32" s="61" t="s">
        <v>203</v>
      </c>
      <c r="J32" s="31"/>
      <c r="K32" s="61" t="s">
        <v>296</v>
      </c>
      <c r="L32" s="31"/>
      <c r="M32" s="61" t="s">
        <v>204</v>
      </c>
      <c r="N32" s="31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8" customHeight="1">
      <c r="A34" s="26"/>
      <c r="B34" s="22"/>
      <c r="C34" s="26"/>
      <c r="D34" s="22"/>
      <c r="E34" s="26"/>
      <c r="F34" s="22"/>
      <c r="G34" s="26"/>
      <c r="H34" s="22"/>
      <c r="I34" s="26"/>
      <c r="J34" s="22"/>
      <c r="K34" s="26"/>
      <c r="L34" s="22"/>
      <c r="M34" s="26"/>
      <c r="N34" s="22"/>
    </row>
    <row r="35" spans="1:14" ht="18" customHeight="1">
      <c r="A35" s="25"/>
      <c r="B35" s="22"/>
      <c r="C35" s="25"/>
      <c r="D35" s="22"/>
      <c r="E35" s="25"/>
      <c r="F35" s="22"/>
      <c r="G35" s="25"/>
      <c r="H35" s="22"/>
      <c r="I35" s="25"/>
      <c r="J35" s="22"/>
      <c r="K35" s="24"/>
      <c r="L35" s="22"/>
      <c r="M35" s="24"/>
      <c r="N35" s="22"/>
    </row>
    <row r="36" spans="1:14" ht="18" customHeight="1">
      <c r="A36" s="23" t="s">
        <v>191</v>
      </c>
      <c r="B36" s="22"/>
      <c r="C36" s="23" t="s">
        <v>191</v>
      </c>
      <c r="D36" s="22"/>
      <c r="E36" s="23" t="s">
        <v>191</v>
      </c>
      <c r="F36" s="22"/>
      <c r="G36" s="23" t="s">
        <v>191</v>
      </c>
      <c r="H36" s="22"/>
      <c r="I36" s="23" t="s">
        <v>191</v>
      </c>
      <c r="J36" s="22"/>
      <c r="K36" s="23" t="s">
        <v>191</v>
      </c>
      <c r="L36" s="22"/>
      <c r="M36" s="23" t="s">
        <v>191</v>
      </c>
      <c r="N36" s="22"/>
    </row>
    <row r="37" spans="1:14" ht="18" customHeight="1">
      <c r="A37" s="21" t="s">
        <v>200</v>
      </c>
      <c r="B37" s="22"/>
      <c r="C37" s="21" t="s">
        <v>200</v>
      </c>
      <c r="D37" s="22"/>
      <c r="E37" s="21" t="s">
        <v>200</v>
      </c>
      <c r="F37" s="22"/>
      <c r="G37" s="21" t="s">
        <v>200</v>
      </c>
      <c r="H37" s="22"/>
      <c r="I37" s="21" t="s">
        <v>200</v>
      </c>
      <c r="J37" s="22"/>
      <c r="K37" s="27"/>
      <c r="L37" s="22"/>
      <c r="M37" s="27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28"/>
      <c r="D39" s="22"/>
      <c r="E39" s="29"/>
      <c r="F39" s="22"/>
      <c r="G39" s="28"/>
      <c r="H39" s="22"/>
      <c r="I39" s="28"/>
      <c r="J39" s="22"/>
      <c r="K39" s="28"/>
      <c r="L39" s="22"/>
      <c r="M39" s="28"/>
      <c r="N39" s="22"/>
    </row>
    <row r="40" spans="1:14" ht="18" customHeight="1">
      <c r="A40" s="30"/>
      <c r="B40" s="22"/>
      <c r="C40" s="30"/>
      <c r="D40" s="22"/>
      <c r="E40" s="30"/>
      <c r="F40" s="22"/>
      <c r="G40" s="30"/>
      <c r="H40" s="22"/>
      <c r="I40" s="30"/>
      <c r="J40" s="22"/>
      <c r="K40" s="30"/>
      <c r="L40" s="22"/>
      <c r="M40" s="30"/>
      <c r="N40" s="22"/>
    </row>
    <row r="41" spans="1:14" ht="18" customHeight="1">
      <c r="A41" s="61" t="s">
        <v>272</v>
      </c>
      <c r="B41" s="31"/>
      <c r="C41" s="61" t="s">
        <v>271</v>
      </c>
      <c r="D41" s="31"/>
      <c r="E41" s="61" t="s">
        <v>274</v>
      </c>
      <c r="F41" s="31"/>
      <c r="G41" s="61" t="s">
        <v>203</v>
      </c>
      <c r="H41" s="31"/>
      <c r="I41" s="61" t="s">
        <v>204</v>
      </c>
      <c r="J41" s="31"/>
      <c r="K41" s="61" t="s">
        <v>204</v>
      </c>
      <c r="L41" s="31"/>
      <c r="M41" s="61" t="s">
        <v>270</v>
      </c>
      <c r="N41" s="31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6"/>
      <c r="B43" s="22"/>
      <c r="C43" s="26"/>
      <c r="D43" s="22"/>
      <c r="E43" s="26"/>
      <c r="F43" s="22"/>
      <c r="G43" s="26"/>
      <c r="H43" s="22"/>
      <c r="I43" s="26"/>
      <c r="J43" s="22"/>
      <c r="K43" s="26"/>
      <c r="L43" s="22"/>
      <c r="M43" s="26"/>
      <c r="N43" s="22"/>
    </row>
    <row r="44" spans="1:14" ht="18" customHeight="1">
      <c r="A44" s="25"/>
      <c r="B44" s="22"/>
      <c r="C44" s="25"/>
      <c r="D44" s="22"/>
      <c r="E44" s="25"/>
      <c r="F44" s="22"/>
      <c r="G44" s="25"/>
      <c r="H44" s="22"/>
      <c r="I44" s="25"/>
      <c r="J44" s="22"/>
      <c r="K44" s="24"/>
      <c r="L44" s="22"/>
      <c r="M44" s="24"/>
      <c r="N44" s="22"/>
    </row>
    <row r="45" spans="1:14" ht="18" customHeight="1">
      <c r="A45" s="23"/>
      <c r="B45" s="22"/>
      <c r="C45" s="23"/>
      <c r="D45" s="22"/>
      <c r="E45" s="23"/>
      <c r="F45" s="22"/>
      <c r="G45" s="23"/>
      <c r="H45" s="22"/>
      <c r="I45" s="23"/>
      <c r="J45" s="22"/>
      <c r="K45" s="23"/>
      <c r="L45" s="22"/>
      <c r="M45" s="23"/>
      <c r="N45" s="22"/>
    </row>
    <row r="46" spans="1:14" ht="18" customHeight="1">
      <c r="A46" s="21"/>
      <c r="B46" s="22"/>
      <c r="C46" s="21"/>
      <c r="D46" s="22"/>
      <c r="E46" s="21"/>
      <c r="F46" s="22"/>
      <c r="G46" s="21"/>
      <c r="H46" s="22"/>
      <c r="I46" s="21"/>
      <c r="J46" s="22"/>
      <c r="K46" s="27"/>
      <c r="L46" s="22"/>
      <c r="M46" s="27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28"/>
      <c r="D48" s="22"/>
      <c r="E48" s="29"/>
      <c r="F48" s="22"/>
      <c r="G48" s="28"/>
      <c r="H48" s="22"/>
      <c r="I48" s="28"/>
      <c r="J48" s="22"/>
      <c r="K48" s="28"/>
      <c r="L48" s="22"/>
      <c r="M48" s="28"/>
      <c r="N48" s="22"/>
    </row>
    <row r="49" spans="1:14" ht="18" customHeight="1">
      <c r="A49" s="30"/>
      <c r="B49" s="22"/>
      <c r="C49" s="30"/>
      <c r="D49" s="22"/>
      <c r="E49" s="30"/>
      <c r="F49" s="22"/>
      <c r="G49" s="30"/>
      <c r="H49" s="22"/>
      <c r="I49" s="30"/>
      <c r="J49" s="22"/>
      <c r="K49" s="32"/>
      <c r="L49" s="31"/>
      <c r="M49" s="32"/>
      <c r="N49" s="31"/>
    </row>
    <row r="50" spans="1:14" ht="18" customHeight="1">
      <c r="A50" s="61" t="s">
        <v>201</v>
      </c>
      <c r="B50" s="31"/>
      <c r="C50" s="61" t="s">
        <v>203</v>
      </c>
      <c r="D50" s="31"/>
      <c r="E50" s="61"/>
      <c r="F50" s="31"/>
      <c r="G50" s="61"/>
      <c r="H50" s="31"/>
      <c r="I50" s="61"/>
      <c r="J50" s="31"/>
      <c r="K50" s="61"/>
      <c r="L50" s="31"/>
      <c r="M50" s="61"/>
      <c r="N50" s="31"/>
    </row>
    <row r="51" spans="1:14" ht="18" customHeight="1">
      <c r="A51" s="2"/>
      <c r="B51" s="3"/>
      <c r="C51" s="2"/>
      <c r="D51" s="3"/>
      <c r="E51" s="44" t="s">
        <v>22</v>
      </c>
      <c r="F51" s="41"/>
      <c r="G51" s="40"/>
      <c r="H51" s="41"/>
      <c r="I51" s="41"/>
      <c r="J51" s="41"/>
      <c r="K51" s="41"/>
      <c r="L51" s="41"/>
      <c r="M51" s="41"/>
      <c r="N51" s="42"/>
    </row>
    <row r="52" spans="1:14" ht="18" customHeight="1">
      <c r="A52" s="26"/>
      <c r="B52" s="22"/>
      <c r="C52" s="34"/>
      <c r="D52" s="22"/>
      <c r="E52" s="35"/>
      <c r="F52" s="36"/>
      <c r="G52" s="36"/>
      <c r="H52" s="36"/>
      <c r="I52" s="36"/>
      <c r="J52" s="36"/>
      <c r="K52" s="36"/>
      <c r="L52" s="36"/>
      <c r="M52" s="36"/>
      <c r="N52" s="22"/>
    </row>
    <row r="53" spans="1:14" ht="18" customHeight="1">
      <c r="A53" s="25"/>
      <c r="B53" s="22"/>
      <c r="C53" s="24"/>
      <c r="D53" s="22"/>
      <c r="E53" s="35"/>
      <c r="F53" s="36"/>
      <c r="G53" s="36"/>
      <c r="H53" s="36"/>
      <c r="I53" s="36"/>
      <c r="J53" s="36"/>
      <c r="K53" s="36"/>
      <c r="L53" s="36"/>
      <c r="M53" s="36"/>
      <c r="N53" s="22"/>
    </row>
    <row r="54" spans="1:14" ht="18" customHeight="1">
      <c r="A54" s="23"/>
      <c r="B54" s="22"/>
      <c r="C54" s="33"/>
      <c r="D54" s="22"/>
      <c r="E54" s="35"/>
      <c r="F54" s="36"/>
      <c r="G54" s="36"/>
      <c r="H54" s="36"/>
      <c r="I54" s="36"/>
      <c r="J54" s="36"/>
      <c r="K54" s="36"/>
      <c r="L54" s="36"/>
      <c r="M54" s="36"/>
      <c r="N54" s="22"/>
    </row>
    <row r="55" spans="1:14" ht="18" customHeight="1">
      <c r="A55" s="21"/>
      <c r="B55" s="22"/>
      <c r="C55" s="2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28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30"/>
      <c r="B58" s="22"/>
      <c r="C58" s="32"/>
      <c r="D58" s="31"/>
      <c r="E58" s="39" t="s">
        <v>23</v>
      </c>
      <c r="F58" s="38"/>
      <c r="G58" s="38"/>
      <c r="H58" s="38"/>
      <c r="I58" s="37" t="str">
        <f>HYPERLINK("https://www.vertex42.com/calendars/academic-calendar.html","https://www.vertex42.com/calendars/academic-calendar.html")</f>
        <v>https://www.vertex42.com/calendars/academic-calendar.html</v>
      </c>
      <c r="J58" s="38"/>
      <c r="K58" s="38"/>
      <c r="L58" s="38"/>
      <c r="M58" s="38"/>
      <c r="N58" s="31"/>
    </row>
  </sheetData>
  <mergeCells count="319"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EDATE('©'!A17,6)</f>
        <v>44927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JANUARY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44928</v>
      </c>
      <c r="B5" s="51"/>
      <c r="C5" s="50">
        <f>C14</f>
        <v>44929</v>
      </c>
      <c r="D5" s="51"/>
      <c r="E5" s="50">
        <f>E14</f>
        <v>44930</v>
      </c>
      <c r="F5" s="51"/>
      <c r="G5" s="50">
        <f>G14</f>
        <v>44931</v>
      </c>
      <c r="H5" s="51"/>
      <c r="I5" s="50">
        <f>I14</f>
        <v>44932</v>
      </c>
      <c r="J5" s="51"/>
      <c r="K5" s="50">
        <f>K14</f>
        <v>44933</v>
      </c>
      <c r="L5" s="51"/>
      <c r="M5" s="50">
        <f>M14</f>
        <v>44934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44927</v>
      </c>
      <c r="N6" s="5"/>
    </row>
    <row r="7" spans="1:14" ht="14.1">
      <c r="A7" s="26"/>
      <c r="B7" s="22"/>
      <c r="C7" s="34"/>
      <c r="D7" s="22"/>
      <c r="E7" s="26"/>
      <c r="F7" s="22"/>
      <c r="G7" s="34"/>
      <c r="H7" s="22"/>
      <c r="I7" s="34" t="s">
        <v>24</v>
      </c>
      <c r="J7" s="22"/>
      <c r="K7" s="34" t="s">
        <v>24</v>
      </c>
      <c r="L7" s="22"/>
      <c r="M7" s="34" t="s">
        <v>24</v>
      </c>
      <c r="N7" s="22"/>
    </row>
    <row r="8" spans="1:14" ht="14.1">
      <c r="A8" s="25"/>
      <c r="B8" s="22"/>
      <c r="C8" s="24"/>
      <c r="D8" s="22"/>
      <c r="E8" s="25"/>
      <c r="F8" s="22"/>
      <c r="G8" s="24"/>
      <c r="H8" s="22"/>
      <c r="I8" s="24" t="s">
        <v>59</v>
      </c>
      <c r="J8" s="22"/>
      <c r="K8" s="24" t="s">
        <v>59</v>
      </c>
      <c r="L8" s="22"/>
      <c r="M8" s="24" t="s">
        <v>59</v>
      </c>
      <c r="N8" s="22"/>
    </row>
    <row r="9" spans="1:14" ht="14.1">
      <c r="A9" s="23"/>
      <c r="B9" s="22"/>
      <c r="C9" s="33"/>
      <c r="D9" s="22"/>
      <c r="E9" s="23"/>
      <c r="F9" s="22"/>
      <c r="G9" s="33"/>
      <c r="H9" s="22"/>
      <c r="I9" s="33" t="s">
        <v>9</v>
      </c>
      <c r="J9" s="22"/>
      <c r="K9" s="33" t="s">
        <v>11</v>
      </c>
      <c r="L9" s="22"/>
      <c r="M9" s="33" t="s">
        <v>11</v>
      </c>
      <c r="N9" s="22"/>
    </row>
    <row r="10" spans="1:14" ht="14.1">
      <c r="A10" s="21"/>
      <c r="B10" s="22"/>
      <c r="C10" s="27"/>
      <c r="D10" s="22"/>
      <c r="E10" s="21"/>
      <c r="F10" s="22"/>
      <c r="G10" s="27"/>
      <c r="H10" s="22"/>
      <c r="I10" s="27" t="s">
        <v>24</v>
      </c>
      <c r="J10" s="22"/>
      <c r="K10" s="27" t="s">
        <v>24</v>
      </c>
      <c r="L10" s="22"/>
      <c r="M10" s="27" t="s">
        <v>24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 t="s">
        <v>28</v>
      </c>
      <c r="J12" s="22"/>
      <c r="K12" s="28" t="s">
        <v>36</v>
      </c>
      <c r="L12" s="22"/>
      <c r="M12" s="28" t="s">
        <v>36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/>
      <c r="H13" s="31"/>
      <c r="I13" s="32" t="s">
        <v>50</v>
      </c>
      <c r="J13" s="31"/>
      <c r="K13" s="32" t="s">
        <v>50</v>
      </c>
      <c r="L13" s="31"/>
      <c r="M13" s="32" t="s">
        <v>50</v>
      </c>
      <c r="N13" s="31"/>
    </row>
    <row r="14" spans="1:14" ht="18" customHeight="1">
      <c r="A14" s="2">
        <f>M6+1</f>
        <v>44928</v>
      </c>
      <c r="B14" s="3"/>
      <c r="C14" s="2">
        <f>A14+1</f>
        <v>44929</v>
      </c>
      <c r="D14" s="3"/>
      <c r="E14" s="2">
        <f>C14+1</f>
        <v>44930</v>
      </c>
      <c r="F14" s="3"/>
      <c r="G14" s="2">
        <f>E14+1</f>
        <v>44931</v>
      </c>
      <c r="H14" s="3"/>
      <c r="I14" s="2">
        <f>G14+1</f>
        <v>44932</v>
      </c>
      <c r="J14" s="3"/>
      <c r="K14" s="4">
        <f>I14+1</f>
        <v>44933</v>
      </c>
      <c r="L14" s="5"/>
      <c r="M14" s="4">
        <f>K14+1</f>
        <v>44934</v>
      </c>
      <c r="N14" s="5"/>
    </row>
    <row r="15" spans="1:14" ht="14.1">
      <c r="A15" s="26" t="s">
        <v>24</v>
      </c>
      <c r="B15" s="22"/>
      <c r="C15" s="26" t="s">
        <v>24</v>
      </c>
      <c r="D15" s="22"/>
      <c r="E15" s="26" t="s">
        <v>24</v>
      </c>
      <c r="F15" s="22"/>
      <c r="G15" s="26" t="s">
        <v>24</v>
      </c>
      <c r="H15" s="22"/>
      <c r="I15" s="34" t="s">
        <v>49</v>
      </c>
      <c r="J15" s="22"/>
      <c r="K15" s="34" t="s">
        <v>50</v>
      </c>
      <c r="L15" s="22"/>
      <c r="M15" s="34" t="s">
        <v>50</v>
      </c>
      <c r="N15" s="22"/>
    </row>
    <row r="16" spans="1:14" ht="14.1">
      <c r="A16" s="25" t="s">
        <v>59</v>
      </c>
      <c r="B16" s="22"/>
      <c r="C16" s="25" t="s">
        <v>59</v>
      </c>
      <c r="D16" s="22"/>
      <c r="E16" s="25" t="s">
        <v>59</v>
      </c>
      <c r="F16" s="22"/>
      <c r="G16" s="25" t="s">
        <v>59</v>
      </c>
      <c r="H16" s="22"/>
      <c r="I16" s="24" t="s">
        <v>12</v>
      </c>
      <c r="J16" s="22"/>
      <c r="K16" s="24" t="s">
        <v>12</v>
      </c>
      <c r="L16" s="22"/>
      <c r="M16" s="24" t="s">
        <v>12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33" t="s">
        <v>31</v>
      </c>
      <c r="J17" s="22"/>
      <c r="K17" s="33" t="s">
        <v>297</v>
      </c>
      <c r="L17" s="22"/>
      <c r="M17" s="33" t="s">
        <v>297</v>
      </c>
      <c r="N17" s="22"/>
    </row>
    <row r="18" spans="1:14" ht="14.1">
      <c r="A18" s="21" t="s">
        <v>24</v>
      </c>
      <c r="B18" s="22"/>
      <c r="C18" s="21" t="s">
        <v>24</v>
      </c>
      <c r="D18" s="22"/>
      <c r="E18" s="21" t="s">
        <v>24</v>
      </c>
      <c r="F18" s="22"/>
      <c r="G18" s="21" t="s">
        <v>24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13</v>
      </c>
      <c r="F19" s="22"/>
      <c r="G19" s="59" t="s">
        <v>13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27</v>
      </c>
      <c r="B20" s="22"/>
      <c r="C20" s="29" t="s">
        <v>27</v>
      </c>
      <c r="D20" s="22"/>
      <c r="E20" s="29" t="s">
        <v>28</v>
      </c>
      <c r="F20" s="22"/>
      <c r="G20" s="28" t="s">
        <v>27</v>
      </c>
      <c r="H20" s="22"/>
      <c r="I20" s="28" t="s">
        <v>71</v>
      </c>
      <c r="J20" s="22"/>
      <c r="K20" s="28" t="s">
        <v>26</v>
      </c>
      <c r="L20" s="22"/>
      <c r="M20" s="28" t="s">
        <v>26</v>
      </c>
      <c r="N20" s="22"/>
    </row>
    <row r="21" spans="1:14" ht="18" customHeight="1">
      <c r="A21" s="30" t="s">
        <v>30</v>
      </c>
      <c r="B21" s="22"/>
      <c r="C21" s="30" t="s">
        <v>30</v>
      </c>
      <c r="D21" s="22"/>
      <c r="E21" s="30" t="s">
        <v>30</v>
      </c>
      <c r="F21" s="22"/>
      <c r="G21" s="30" t="s">
        <v>30</v>
      </c>
      <c r="H21" s="22"/>
      <c r="I21" s="30" t="s">
        <v>29</v>
      </c>
      <c r="J21" s="22"/>
      <c r="K21" s="30" t="s">
        <v>41</v>
      </c>
      <c r="L21" s="22"/>
      <c r="M21" s="30" t="s">
        <v>41</v>
      </c>
      <c r="N21" s="22"/>
    </row>
    <row r="22" spans="1:14" ht="18" customHeight="1">
      <c r="A22" s="2">
        <f>M14+1</f>
        <v>44935</v>
      </c>
      <c r="B22" s="3"/>
      <c r="C22" s="2">
        <f>A22+1</f>
        <v>44936</v>
      </c>
      <c r="D22" s="3"/>
      <c r="E22" s="2">
        <f>C22+1</f>
        <v>44937</v>
      </c>
      <c r="F22" s="3"/>
      <c r="G22" s="2">
        <f>E22+1</f>
        <v>44938</v>
      </c>
      <c r="H22" s="3"/>
      <c r="I22" s="2">
        <f>G22+1</f>
        <v>44939</v>
      </c>
      <c r="J22" s="3"/>
      <c r="K22" s="4">
        <f>I22+1</f>
        <v>44940</v>
      </c>
      <c r="L22" s="5"/>
      <c r="M22" s="4">
        <f>K22+1</f>
        <v>44941</v>
      </c>
      <c r="N22" s="5"/>
    </row>
    <row r="23" spans="1:14" ht="14.1">
      <c r="A23" s="26" t="s">
        <v>49</v>
      </c>
      <c r="B23" s="22"/>
      <c r="C23" s="26" t="s">
        <v>50</v>
      </c>
      <c r="D23" s="22"/>
      <c r="E23" s="26" t="s">
        <v>50</v>
      </c>
      <c r="F23" s="22"/>
      <c r="G23" s="26" t="s">
        <v>50</v>
      </c>
      <c r="H23" s="22"/>
      <c r="I23" s="34" t="s">
        <v>53</v>
      </c>
      <c r="J23" s="22"/>
      <c r="K23" s="34" t="s">
        <v>31</v>
      </c>
      <c r="L23" s="22"/>
      <c r="M23" s="34" t="s">
        <v>9</v>
      </c>
      <c r="N23" s="22"/>
    </row>
    <row r="24" spans="1:14" ht="14.1">
      <c r="A24" s="25" t="s">
        <v>12</v>
      </c>
      <c r="B24" s="22"/>
      <c r="C24" s="25" t="s">
        <v>12</v>
      </c>
      <c r="D24" s="22"/>
      <c r="E24" s="25" t="s">
        <v>12</v>
      </c>
      <c r="F24" s="22"/>
      <c r="G24" s="25" t="s">
        <v>12</v>
      </c>
      <c r="H24" s="22"/>
      <c r="I24" s="24" t="s">
        <v>38</v>
      </c>
      <c r="J24" s="22"/>
      <c r="K24" s="24" t="s">
        <v>38</v>
      </c>
      <c r="L24" s="22"/>
      <c r="M24" s="24" t="s">
        <v>38</v>
      </c>
      <c r="N24" s="22"/>
    </row>
    <row r="25" spans="1:14" ht="14.1">
      <c r="A25" s="23" t="s">
        <v>75</v>
      </c>
      <c r="B25" s="22"/>
      <c r="C25" s="23" t="s">
        <v>11</v>
      </c>
      <c r="D25" s="22"/>
      <c r="E25" s="23" t="s">
        <v>10</v>
      </c>
      <c r="F25" s="22"/>
      <c r="G25" s="33" t="s">
        <v>9</v>
      </c>
      <c r="H25" s="22"/>
      <c r="I25" s="33" t="s">
        <v>112</v>
      </c>
      <c r="J25" s="22"/>
      <c r="K25" s="33" t="s">
        <v>14</v>
      </c>
      <c r="L25" s="22"/>
      <c r="M25" s="33" t="s">
        <v>55</v>
      </c>
      <c r="N25" s="22"/>
    </row>
    <row r="26" spans="1:14" ht="14.1">
      <c r="A26" s="21" t="s">
        <v>15</v>
      </c>
      <c r="B26" s="22"/>
      <c r="C26" s="21" t="s">
        <v>15</v>
      </c>
      <c r="D26" s="22"/>
      <c r="E26" s="21" t="s">
        <v>15</v>
      </c>
      <c r="F26" s="22"/>
      <c r="G26" s="21" t="s">
        <v>15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26</v>
      </c>
      <c r="B28" s="22"/>
      <c r="C28" s="28" t="s">
        <v>17</v>
      </c>
      <c r="D28" s="22"/>
      <c r="E28" s="29" t="s">
        <v>298</v>
      </c>
      <c r="F28" s="22"/>
      <c r="G28" s="28" t="s">
        <v>17</v>
      </c>
      <c r="H28" s="22"/>
      <c r="I28" s="28" t="s">
        <v>299</v>
      </c>
      <c r="J28" s="22"/>
      <c r="K28" s="28" t="s">
        <v>19</v>
      </c>
      <c r="L28" s="22"/>
      <c r="M28" s="28" t="s">
        <v>19</v>
      </c>
      <c r="N28" s="22"/>
    </row>
    <row r="29" spans="1:14" ht="18" customHeight="1">
      <c r="A29" s="30" t="s">
        <v>29</v>
      </c>
      <c r="B29" s="22"/>
      <c r="C29" s="30" t="s">
        <v>29</v>
      </c>
      <c r="D29" s="22"/>
      <c r="E29" s="30" t="s">
        <v>30</v>
      </c>
      <c r="F29" s="22"/>
      <c r="G29" s="30" t="s">
        <v>29</v>
      </c>
      <c r="H29" s="22"/>
      <c r="I29" s="30" t="s">
        <v>30</v>
      </c>
      <c r="J29" s="22"/>
      <c r="K29" s="30" t="s">
        <v>30</v>
      </c>
      <c r="L29" s="22"/>
      <c r="M29" s="30" t="s">
        <v>30</v>
      </c>
      <c r="N29" s="22"/>
    </row>
    <row r="30" spans="1:14" ht="18" customHeight="1">
      <c r="A30" s="2">
        <f>M22+1</f>
        <v>44942</v>
      </c>
      <c r="B30" s="3"/>
      <c r="C30" s="2">
        <f>A30+1</f>
        <v>44943</v>
      </c>
      <c r="D30" s="3"/>
      <c r="E30" s="2">
        <f>C30+1</f>
        <v>44944</v>
      </c>
      <c r="F30" s="3"/>
      <c r="G30" s="2">
        <f>E30+1</f>
        <v>44945</v>
      </c>
      <c r="H30" s="3"/>
      <c r="I30" s="2">
        <f>G30+1</f>
        <v>44946</v>
      </c>
      <c r="J30" s="3"/>
      <c r="K30" s="4">
        <f>I30+1</f>
        <v>44947</v>
      </c>
      <c r="L30" s="5"/>
      <c r="M30" s="4">
        <f>K30+1</f>
        <v>44948</v>
      </c>
      <c r="N30" s="5"/>
    </row>
    <row r="31" spans="1:14" ht="14.1">
      <c r="A31" s="26" t="s">
        <v>45</v>
      </c>
      <c r="B31" s="22"/>
      <c r="C31" s="34" t="s">
        <v>9</v>
      </c>
      <c r="D31" s="22"/>
      <c r="E31" s="26" t="s">
        <v>9</v>
      </c>
      <c r="F31" s="22"/>
      <c r="G31" s="34" t="s">
        <v>9</v>
      </c>
      <c r="H31" s="22"/>
      <c r="I31" s="34" t="s">
        <v>10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25" t="s">
        <v>38</v>
      </c>
      <c r="B32" s="22"/>
      <c r="C32" s="25" t="s">
        <v>38</v>
      </c>
      <c r="D32" s="22"/>
      <c r="E32" s="25" t="s">
        <v>38</v>
      </c>
      <c r="F32" s="22"/>
      <c r="G32" s="25" t="s">
        <v>38</v>
      </c>
      <c r="H32" s="22"/>
      <c r="I32" s="24" t="s">
        <v>300</v>
      </c>
      <c r="J32" s="22"/>
      <c r="K32" s="24" t="s">
        <v>300</v>
      </c>
      <c r="L32" s="22"/>
      <c r="M32" s="24" t="s">
        <v>300</v>
      </c>
      <c r="N32" s="22"/>
    </row>
    <row r="33" spans="1:14" ht="14.1">
      <c r="A33" s="23" t="s">
        <v>55</v>
      </c>
      <c r="B33" s="22"/>
      <c r="C33" s="33" t="s">
        <v>13</v>
      </c>
      <c r="D33" s="22"/>
      <c r="E33" s="23" t="s">
        <v>55</v>
      </c>
      <c r="F33" s="22"/>
      <c r="G33" s="33" t="s">
        <v>13</v>
      </c>
      <c r="H33" s="22"/>
      <c r="I33" s="33" t="s">
        <v>112</v>
      </c>
      <c r="J33" s="22"/>
      <c r="K33" s="33" t="s">
        <v>62</v>
      </c>
      <c r="L33" s="22"/>
      <c r="M33" s="33" t="s">
        <v>62</v>
      </c>
      <c r="N33" s="22"/>
    </row>
    <row r="34" spans="1:14" ht="14.1">
      <c r="A34" s="21" t="s">
        <v>15</v>
      </c>
      <c r="B34" s="22"/>
      <c r="C34" s="27" t="s">
        <v>15</v>
      </c>
      <c r="D34" s="22"/>
      <c r="E34" s="21" t="s">
        <v>24</v>
      </c>
      <c r="F34" s="22"/>
      <c r="G34" s="27" t="s">
        <v>24</v>
      </c>
      <c r="H34" s="22"/>
      <c r="I34" s="27" t="s">
        <v>15</v>
      </c>
      <c r="J34" s="22"/>
      <c r="K34" s="27" t="s">
        <v>15</v>
      </c>
      <c r="L34" s="22"/>
      <c r="M34" s="27" t="s">
        <v>15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26</v>
      </c>
      <c r="B36" s="22"/>
      <c r="C36" s="28" t="s">
        <v>26</v>
      </c>
      <c r="D36" s="22"/>
      <c r="E36" s="29" t="s">
        <v>28</v>
      </c>
      <c r="F36" s="22"/>
      <c r="G36" s="28" t="s">
        <v>17</v>
      </c>
      <c r="H36" s="22"/>
      <c r="I36" s="28" t="s">
        <v>28</v>
      </c>
      <c r="J36" s="22"/>
      <c r="K36" s="28" t="s">
        <v>17</v>
      </c>
      <c r="L36" s="22"/>
      <c r="M36" s="28" t="s">
        <v>17</v>
      </c>
      <c r="N36" s="22"/>
    </row>
    <row r="37" spans="1:14" ht="18" customHeight="1">
      <c r="A37" s="30" t="s">
        <v>63</v>
      </c>
      <c r="B37" s="22"/>
      <c r="C37" s="30" t="s">
        <v>63</v>
      </c>
      <c r="D37" s="22"/>
      <c r="E37" s="30" t="s">
        <v>50</v>
      </c>
      <c r="F37" s="22"/>
      <c r="G37" s="30" t="s">
        <v>63</v>
      </c>
      <c r="H37" s="22"/>
      <c r="I37" s="30" t="s">
        <v>50</v>
      </c>
      <c r="J37" s="22"/>
      <c r="K37" s="30" t="s">
        <v>74</v>
      </c>
      <c r="L37" s="22"/>
      <c r="M37" s="30" t="s">
        <v>74</v>
      </c>
      <c r="N37" s="22"/>
    </row>
    <row r="38" spans="1:14" ht="18" customHeight="1">
      <c r="A38" s="2">
        <f>IF(M30="","",IF(MONTH(M30+1)&lt;&gt;MONTH($A$1),"",M30+1))</f>
        <v>44949</v>
      </c>
      <c r="B38" s="3"/>
      <c r="C38" s="2">
        <f>IF(A38="","",IF(MONTH(A38+1)&lt;&gt;MONTH($A$1),"",A38+1))</f>
        <v>44950</v>
      </c>
      <c r="D38" s="3"/>
      <c r="E38" s="2">
        <f>IF(C38="","",IF(MONTH(C38+1)&lt;&gt;MONTH($A$1),"",C38+1))</f>
        <v>44951</v>
      </c>
      <c r="F38" s="3"/>
      <c r="G38" s="2">
        <f>IF(E38="","",IF(MONTH(E38+1)&lt;&gt;MONTH($A$1),"",E38+1))</f>
        <v>44952</v>
      </c>
      <c r="H38" s="3"/>
      <c r="I38" s="2">
        <f>IF(G38="","",IF(MONTH(G38+1)&lt;&gt;MONTH($A$1),"",G38+1))</f>
        <v>44953</v>
      </c>
      <c r="J38" s="3"/>
      <c r="K38" s="4">
        <f>IF(I38="","",IF(MONTH(I38+1)&lt;&gt;MONTH($A$1),"",I38+1))</f>
        <v>44954</v>
      </c>
      <c r="L38" s="5"/>
      <c r="M38" s="4">
        <f>IF(K38="","",IF(MONTH(K38+1)&lt;&gt;MONTH($A$1),"",K38+1))</f>
        <v>44955</v>
      </c>
      <c r="N38" s="5"/>
    </row>
    <row r="39" spans="1:14" ht="14.1">
      <c r="A39" s="26" t="s">
        <v>10</v>
      </c>
      <c r="B39" s="22"/>
      <c r="C39" s="34" t="s">
        <v>11</v>
      </c>
      <c r="D39" s="22"/>
      <c r="E39" s="34" t="s">
        <v>75</v>
      </c>
      <c r="F39" s="22"/>
      <c r="G39" s="34" t="s">
        <v>11</v>
      </c>
      <c r="H39" s="22"/>
      <c r="I39" s="34" t="s">
        <v>24</v>
      </c>
      <c r="J39" s="22"/>
      <c r="K39" s="34" t="s">
        <v>24</v>
      </c>
      <c r="L39" s="22"/>
      <c r="M39" s="34" t="s">
        <v>24</v>
      </c>
      <c r="N39" s="22"/>
    </row>
    <row r="40" spans="1:14" ht="14.1">
      <c r="A40" s="25" t="s">
        <v>42</v>
      </c>
      <c r="B40" s="22"/>
      <c r="C40" s="25" t="s">
        <v>42</v>
      </c>
      <c r="D40" s="22"/>
      <c r="E40" s="25" t="s">
        <v>42</v>
      </c>
      <c r="F40" s="22"/>
      <c r="G40" s="25" t="s">
        <v>42</v>
      </c>
      <c r="H40" s="22"/>
      <c r="I40" s="24" t="s">
        <v>54</v>
      </c>
      <c r="J40" s="22"/>
      <c r="K40" s="24" t="s">
        <v>54</v>
      </c>
      <c r="L40" s="22"/>
      <c r="M40" s="24" t="s">
        <v>54</v>
      </c>
      <c r="N40" s="22"/>
    </row>
    <row r="41" spans="1:14" ht="14.1">
      <c r="A41" s="23" t="s">
        <v>53</v>
      </c>
      <c r="B41" s="22"/>
      <c r="C41" s="33" t="s">
        <v>9</v>
      </c>
      <c r="D41" s="22"/>
      <c r="E41" s="23" t="s">
        <v>31</v>
      </c>
      <c r="F41" s="22"/>
      <c r="G41" s="33" t="s">
        <v>9</v>
      </c>
      <c r="H41" s="22"/>
      <c r="I41" s="33" t="s">
        <v>9</v>
      </c>
      <c r="J41" s="22"/>
      <c r="K41" s="33" t="s">
        <v>11</v>
      </c>
      <c r="L41" s="22"/>
      <c r="M41" s="33" t="s">
        <v>11</v>
      </c>
      <c r="N41" s="22"/>
    </row>
    <row r="42" spans="1:14" ht="14.1">
      <c r="A42" s="21" t="s">
        <v>15</v>
      </c>
      <c r="B42" s="22"/>
      <c r="C42" s="21" t="s">
        <v>15</v>
      </c>
      <c r="D42" s="22"/>
      <c r="E42" s="21" t="s">
        <v>15</v>
      </c>
      <c r="F42" s="22"/>
      <c r="G42" s="21" t="s">
        <v>15</v>
      </c>
      <c r="H42" s="22"/>
      <c r="I42" s="27" t="s">
        <v>24</v>
      </c>
      <c r="J42" s="22"/>
      <c r="K42" s="27" t="s">
        <v>24</v>
      </c>
      <c r="L42" s="22"/>
      <c r="M42" s="27" t="s">
        <v>24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28</v>
      </c>
      <c r="B44" s="22"/>
      <c r="C44" s="29" t="s">
        <v>17</v>
      </c>
      <c r="D44" s="22"/>
      <c r="E44" s="29" t="s">
        <v>28</v>
      </c>
      <c r="F44" s="22"/>
      <c r="G44" s="29" t="s">
        <v>301</v>
      </c>
      <c r="H44" s="22"/>
      <c r="I44" s="28" t="s">
        <v>27</v>
      </c>
      <c r="J44" s="22"/>
      <c r="K44" s="28" t="s">
        <v>137</v>
      </c>
      <c r="L44" s="22"/>
      <c r="M44" s="28" t="s">
        <v>137</v>
      </c>
      <c r="N44" s="22"/>
    </row>
    <row r="45" spans="1:14" ht="18" customHeight="1">
      <c r="A45" s="30" t="s">
        <v>21</v>
      </c>
      <c r="B45" s="22"/>
      <c r="C45" s="30" t="s">
        <v>63</v>
      </c>
      <c r="D45" s="22"/>
      <c r="E45" s="30" t="s">
        <v>50</v>
      </c>
      <c r="F45" s="22"/>
      <c r="G45" s="30" t="s">
        <v>50</v>
      </c>
      <c r="H45" s="22"/>
      <c r="I45" s="30" t="s">
        <v>50</v>
      </c>
      <c r="J45" s="22"/>
      <c r="K45" s="30" t="s">
        <v>50</v>
      </c>
      <c r="L45" s="22"/>
      <c r="M45" s="30" t="s">
        <v>50</v>
      </c>
      <c r="N45" s="22"/>
    </row>
    <row r="46" spans="1:14" ht="18" customHeight="1">
      <c r="A46" s="2">
        <f>IF(M38="","",IF(MONTH(M38+1)&lt;&gt;MONTH($A$1),"",M38+1))</f>
        <v>44956</v>
      </c>
      <c r="B46" s="3"/>
      <c r="C46" s="2">
        <f>IF(A46="","",IF(MONTH(A46+1)&lt;&gt;MONTH($A$1),"",A46+1))</f>
        <v>44957</v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302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EDATE('©'!A17,7)</f>
        <v>44958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FEBRUARY 2023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44963</v>
      </c>
      <c r="B5" s="51"/>
      <c r="C5" s="50">
        <f>C14</f>
        <v>44964</v>
      </c>
      <c r="D5" s="51"/>
      <c r="E5" s="50">
        <f>E14</f>
        <v>44965</v>
      </c>
      <c r="F5" s="51"/>
      <c r="G5" s="50">
        <f>G14</f>
        <v>44966</v>
      </c>
      <c r="H5" s="51"/>
      <c r="I5" s="50">
        <f>I14</f>
        <v>44967</v>
      </c>
      <c r="J5" s="51"/>
      <c r="K5" s="50">
        <f>K14</f>
        <v>44968</v>
      </c>
      <c r="L5" s="51"/>
      <c r="M5" s="50">
        <f>M14</f>
        <v>44969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44958</v>
      </c>
      <c r="F6" s="3"/>
      <c r="G6" s="2">
        <f>IF(E6="",IF(WEEKDAY($A$1,1)=MOD(startday,7)+3,$A$1,""),E6+1)</f>
        <v>44959</v>
      </c>
      <c r="H6" s="3"/>
      <c r="I6" s="2">
        <f>IF(G6="",IF(WEEKDAY($A$1,1)=MOD(startday,7)+4,$A$1,""),G6+1)</f>
        <v>44960</v>
      </c>
      <c r="J6" s="3"/>
      <c r="K6" s="4">
        <f>IF(I6="",IF(WEEKDAY($A$1,1)=MOD(startday,7)+5,$A$1,""),I6+1)</f>
        <v>44961</v>
      </c>
      <c r="L6" s="5"/>
      <c r="M6" s="4">
        <f>IF(K6="",IF(WEEKDAY($A$1,1)=MOD(startday+5,7)+1,$A$1,""),K6+1)</f>
        <v>44962</v>
      </c>
      <c r="N6" s="5"/>
    </row>
    <row r="7" spans="1:14" ht="14.1">
      <c r="A7" s="26" t="s">
        <v>24</v>
      </c>
      <c r="B7" s="22"/>
      <c r="C7" s="26" t="s">
        <v>24</v>
      </c>
      <c r="D7" s="22"/>
      <c r="E7" s="26" t="s">
        <v>24</v>
      </c>
      <c r="F7" s="22"/>
      <c r="G7" s="26" t="s">
        <v>24</v>
      </c>
      <c r="H7" s="22"/>
      <c r="I7" s="34" t="s">
        <v>53</v>
      </c>
      <c r="J7" s="22"/>
      <c r="K7" s="34" t="s">
        <v>9</v>
      </c>
      <c r="L7" s="22"/>
      <c r="M7" s="34" t="s">
        <v>9</v>
      </c>
      <c r="N7" s="22"/>
    </row>
    <row r="8" spans="1:14" ht="14.1">
      <c r="A8" s="25" t="s">
        <v>54</v>
      </c>
      <c r="B8" s="22"/>
      <c r="C8" s="25" t="s">
        <v>54</v>
      </c>
      <c r="D8" s="22"/>
      <c r="E8" s="25" t="s">
        <v>54</v>
      </c>
      <c r="F8" s="22"/>
      <c r="G8" s="25" t="s">
        <v>54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 t="s">
        <v>11</v>
      </c>
      <c r="B9" s="22"/>
      <c r="C9" s="23" t="s">
        <v>11</v>
      </c>
      <c r="D9" s="22"/>
      <c r="E9" s="23" t="s">
        <v>11</v>
      </c>
      <c r="F9" s="22"/>
      <c r="G9" s="23" t="s">
        <v>11</v>
      </c>
      <c r="H9" s="22"/>
      <c r="I9" s="33" t="s">
        <v>10</v>
      </c>
      <c r="J9" s="22"/>
      <c r="K9" s="33" t="s">
        <v>32</v>
      </c>
      <c r="L9" s="22"/>
      <c r="M9" s="33" t="s">
        <v>32</v>
      </c>
      <c r="N9" s="22"/>
    </row>
    <row r="10" spans="1:14" ht="14.1">
      <c r="A10" s="21" t="s">
        <v>24</v>
      </c>
      <c r="B10" s="22"/>
      <c r="C10" s="21" t="s">
        <v>24</v>
      </c>
      <c r="D10" s="22"/>
      <c r="E10" s="21" t="s">
        <v>24</v>
      </c>
      <c r="F10" s="22"/>
      <c r="G10" s="21" t="s">
        <v>24</v>
      </c>
      <c r="H10" s="22"/>
      <c r="I10" s="21" t="s">
        <v>24</v>
      </c>
      <c r="J10" s="22"/>
      <c r="K10" s="21" t="s">
        <v>24</v>
      </c>
      <c r="L10" s="22"/>
      <c r="M10" s="21" t="s">
        <v>24</v>
      </c>
      <c r="N10" s="22"/>
    </row>
    <row r="11" spans="1:14" ht="14.1">
      <c r="A11" s="59" t="s">
        <v>13</v>
      </c>
      <c r="B11" s="22"/>
      <c r="C11" s="59" t="s">
        <v>13</v>
      </c>
      <c r="D11" s="22"/>
      <c r="E11" s="59" t="s">
        <v>13</v>
      </c>
      <c r="F11" s="22"/>
      <c r="G11" s="59" t="s">
        <v>13</v>
      </c>
      <c r="H11" s="22"/>
      <c r="I11" s="59" t="s">
        <v>13</v>
      </c>
      <c r="J11" s="22"/>
      <c r="K11" s="59" t="s">
        <v>13</v>
      </c>
      <c r="L11" s="22"/>
      <c r="M11" s="59" t="s">
        <v>13</v>
      </c>
      <c r="N11" s="22"/>
    </row>
    <row r="12" spans="1:14" ht="14.1">
      <c r="A12" s="29" t="s">
        <v>26</v>
      </c>
      <c r="B12" s="22"/>
      <c r="C12" s="29" t="s">
        <v>26</v>
      </c>
      <c r="D12" s="22"/>
      <c r="E12" s="29" t="s">
        <v>26</v>
      </c>
      <c r="F12" s="22"/>
      <c r="G12" s="29" t="s">
        <v>26</v>
      </c>
      <c r="H12" s="22"/>
      <c r="I12" s="29" t="s">
        <v>44</v>
      </c>
      <c r="J12" s="22"/>
      <c r="K12" s="28" t="s">
        <v>36</v>
      </c>
      <c r="L12" s="22"/>
      <c r="M12" s="28" t="s">
        <v>36</v>
      </c>
      <c r="N12" s="22"/>
    </row>
    <row r="13" spans="1:14" ht="18" customHeight="1">
      <c r="A13" s="30" t="s">
        <v>63</v>
      </c>
      <c r="B13" s="22"/>
      <c r="C13" s="30" t="s">
        <v>63</v>
      </c>
      <c r="D13" s="22"/>
      <c r="E13" s="30" t="s">
        <v>63</v>
      </c>
      <c r="F13" s="22"/>
      <c r="G13" s="30" t="s">
        <v>63</v>
      </c>
      <c r="H13" s="22"/>
      <c r="I13" s="30" t="s">
        <v>50</v>
      </c>
      <c r="J13" s="22"/>
      <c r="K13" s="30" t="s">
        <v>50</v>
      </c>
      <c r="L13" s="22"/>
      <c r="M13" s="30" t="s">
        <v>50</v>
      </c>
      <c r="N13" s="22"/>
    </row>
    <row r="14" spans="1:14" ht="18" customHeight="1">
      <c r="A14" s="2">
        <f>M6+1</f>
        <v>44963</v>
      </c>
      <c r="B14" s="3"/>
      <c r="C14" s="2">
        <f>A14+1</f>
        <v>44964</v>
      </c>
      <c r="D14" s="3"/>
      <c r="E14" s="2">
        <f>C14+1</f>
        <v>44965</v>
      </c>
      <c r="F14" s="3"/>
      <c r="G14" s="2">
        <f>E14+1</f>
        <v>44966</v>
      </c>
      <c r="H14" s="3"/>
      <c r="I14" s="2">
        <f>G14+1</f>
        <v>44967</v>
      </c>
      <c r="J14" s="3"/>
      <c r="K14" s="4">
        <f>I14+1</f>
        <v>44968</v>
      </c>
      <c r="L14" s="5"/>
      <c r="M14" s="4">
        <f>K14+1</f>
        <v>44969</v>
      </c>
      <c r="N14" s="5"/>
    </row>
    <row r="15" spans="1:14" ht="14.1">
      <c r="A15" s="26" t="s">
        <v>31</v>
      </c>
      <c r="B15" s="22"/>
      <c r="C15" s="26" t="s">
        <v>9</v>
      </c>
      <c r="D15" s="22"/>
      <c r="E15" s="26" t="s">
        <v>9</v>
      </c>
      <c r="F15" s="22"/>
      <c r="G15" s="26" t="s">
        <v>9</v>
      </c>
      <c r="H15" s="22"/>
      <c r="I15" s="34" t="s">
        <v>78</v>
      </c>
      <c r="J15" s="22"/>
      <c r="K15" s="34" t="s">
        <v>50</v>
      </c>
      <c r="L15" s="22"/>
      <c r="M15" s="34" t="s">
        <v>52</v>
      </c>
      <c r="N15" s="22"/>
    </row>
    <row r="16" spans="1:14" ht="14.1">
      <c r="A16" s="25" t="s">
        <v>16</v>
      </c>
      <c r="B16" s="22"/>
      <c r="C16" s="25" t="s">
        <v>16</v>
      </c>
      <c r="D16" s="22"/>
      <c r="E16" s="25" t="s">
        <v>16</v>
      </c>
      <c r="F16" s="22"/>
      <c r="G16" s="25" t="s">
        <v>16</v>
      </c>
      <c r="H16" s="22"/>
      <c r="I16" s="24" t="s">
        <v>51</v>
      </c>
      <c r="J16" s="22"/>
      <c r="K16" s="24" t="s">
        <v>51</v>
      </c>
      <c r="L16" s="22"/>
      <c r="M16" s="24" t="s">
        <v>51</v>
      </c>
      <c r="N16" s="22"/>
    </row>
    <row r="17" spans="1:14" ht="14.1">
      <c r="A17" s="23" t="s">
        <v>75</v>
      </c>
      <c r="B17" s="22"/>
      <c r="C17" s="33" t="s">
        <v>11</v>
      </c>
      <c r="D17" s="22"/>
      <c r="E17" s="23" t="s">
        <v>39</v>
      </c>
      <c r="F17" s="22"/>
      <c r="G17" s="33" t="s">
        <v>11</v>
      </c>
      <c r="H17" s="22"/>
      <c r="I17" s="33" t="s">
        <v>112</v>
      </c>
      <c r="J17" s="22"/>
      <c r="K17" s="33" t="s">
        <v>112</v>
      </c>
      <c r="L17" s="22"/>
      <c r="M17" s="33" t="s">
        <v>55</v>
      </c>
      <c r="N17" s="22"/>
    </row>
    <row r="18" spans="1:14" ht="14.1">
      <c r="A18" s="21" t="s">
        <v>15</v>
      </c>
      <c r="B18" s="22"/>
      <c r="C18" s="27" t="s">
        <v>24</v>
      </c>
      <c r="D18" s="22"/>
      <c r="E18" s="21" t="s">
        <v>24</v>
      </c>
      <c r="F18" s="22"/>
      <c r="G18" s="27" t="s">
        <v>15</v>
      </c>
      <c r="H18" s="22"/>
      <c r="I18" s="27" t="s">
        <v>15</v>
      </c>
      <c r="J18" s="22"/>
      <c r="K18" s="27" t="s">
        <v>15</v>
      </c>
      <c r="L18" s="22"/>
      <c r="M18" s="27" t="s">
        <v>15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27</v>
      </c>
      <c r="B20" s="22"/>
      <c r="C20" s="29" t="s">
        <v>27</v>
      </c>
      <c r="D20" s="22"/>
      <c r="E20" s="29" t="s">
        <v>28</v>
      </c>
      <c r="F20" s="22"/>
      <c r="G20" s="29" t="s">
        <v>27</v>
      </c>
      <c r="H20" s="22"/>
      <c r="I20" s="29" t="s">
        <v>27</v>
      </c>
      <c r="J20" s="22"/>
      <c r="K20" s="29" t="s">
        <v>19</v>
      </c>
      <c r="L20" s="22"/>
      <c r="M20" s="29" t="s">
        <v>19</v>
      </c>
      <c r="N20" s="22"/>
    </row>
    <row r="21" spans="1:14" ht="18" customHeight="1">
      <c r="A21" s="30" t="s">
        <v>30</v>
      </c>
      <c r="B21" s="22"/>
      <c r="C21" s="30" t="s">
        <v>30</v>
      </c>
      <c r="D21" s="22"/>
      <c r="E21" s="30" t="s">
        <v>30</v>
      </c>
      <c r="F21" s="22"/>
      <c r="G21" s="30" t="s">
        <v>30</v>
      </c>
      <c r="H21" s="22"/>
      <c r="I21" s="30" t="s">
        <v>30</v>
      </c>
      <c r="J21" s="22"/>
      <c r="K21" s="30" t="s">
        <v>30</v>
      </c>
      <c r="L21" s="22"/>
      <c r="M21" s="30" t="s">
        <v>30</v>
      </c>
      <c r="N21" s="22"/>
    </row>
    <row r="22" spans="1:14" ht="18" customHeight="1">
      <c r="A22" s="2">
        <f>M14+1</f>
        <v>44970</v>
      </c>
      <c r="B22" s="3"/>
      <c r="C22" s="2">
        <f>A22+1</f>
        <v>44971</v>
      </c>
      <c r="D22" s="3"/>
      <c r="E22" s="2">
        <f>C22+1</f>
        <v>44972</v>
      </c>
      <c r="F22" s="3"/>
      <c r="G22" s="2">
        <f>E22+1</f>
        <v>44973</v>
      </c>
      <c r="H22" s="3"/>
      <c r="I22" s="2">
        <f>G22+1</f>
        <v>44974</v>
      </c>
      <c r="J22" s="3"/>
      <c r="K22" s="4">
        <f>I22+1</f>
        <v>44975</v>
      </c>
      <c r="L22" s="5"/>
      <c r="M22" s="4">
        <f>K22+1</f>
        <v>44976</v>
      </c>
      <c r="N22" s="5"/>
    </row>
    <row r="23" spans="1:14" ht="14.1">
      <c r="A23" s="26" t="s">
        <v>78</v>
      </c>
      <c r="B23" s="22"/>
      <c r="C23" s="34" t="s">
        <v>50</v>
      </c>
      <c r="D23" s="22"/>
      <c r="E23" s="34" t="s">
        <v>52</v>
      </c>
      <c r="F23" s="22"/>
      <c r="G23" s="34" t="s">
        <v>50</v>
      </c>
      <c r="H23" s="22"/>
      <c r="I23" s="34" t="s">
        <v>78</v>
      </c>
      <c r="J23" s="22"/>
      <c r="K23" s="34" t="s">
        <v>11</v>
      </c>
      <c r="L23" s="22"/>
      <c r="M23" s="34" t="s">
        <v>11</v>
      </c>
      <c r="N23" s="22"/>
    </row>
    <row r="24" spans="1:14" ht="14.1">
      <c r="A24" s="25" t="s">
        <v>51</v>
      </c>
      <c r="B24" s="22"/>
      <c r="C24" s="25" t="s">
        <v>51</v>
      </c>
      <c r="D24" s="22"/>
      <c r="E24" s="25" t="s">
        <v>51</v>
      </c>
      <c r="F24" s="22"/>
      <c r="G24" s="25" t="s">
        <v>51</v>
      </c>
      <c r="H24" s="22"/>
      <c r="I24" s="24" t="s">
        <v>59</v>
      </c>
      <c r="J24" s="22"/>
      <c r="K24" s="24" t="s">
        <v>59</v>
      </c>
      <c r="L24" s="22"/>
      <c r="M24" s="24" t="s">
        <v>59</v>
      </c>
      <c r="N24" s="22"/>
    </row>
    <row r="25" spans="1:14" ht="14.1">
      <c r="A25" s="23" t="s">
        <v>112</v>
      </c>
      <c r="B25" s="22"/>
      <c r="C25" s="33" t="s">
        <v>13</v>
      </c>
      <c r="D25" s="22"/>
      <c r="E25" s="23" t="s">
        <v>55</v>
      </c>
      <c r="F25" s="22"/>
      <c r="G25" s="33" t="s">
        <v>13</v>
      </c>
      <c r="H25" s="22"/>
      <c r="I25" s="33" t="s">
        <v>53</v>
      </c>
      <c r="J25" s="22"/>
      <c r="K25" s="33" t="s">
        <v>62</v>
      </c>
      <c r="L25" s="22"/>
      <c r="M25" s="33" t="s">
        <v>62</v>
      </c>
      <c r="N25" s="22"/>
    </row>
    <row r="26" spans="1:14" ht="14.1">
      <c r="A26" s="21" t="s">
        <v>15</v>
      </c>
      <c r="B26" s="22"/>
      <c r="C26" s="27" t="s">
        <v>24</v>
      </c>
      <c r="D26" s="22"/>
      <c r="E26" s="21" t="s">
        <v>24</v>
      </c>
      <c r="F26" s="22"/>
      <c r="G26" s="27" t="s">
        <v>24</v>
      </c>
      <c r="H26" s="22"/>
      <c r="I26" s="27" t="s">
        <v>15</v>
      </c>
      <c r="J26" s="22"/>
      <c r="K26" s="27" t="s">
        <v>15</v>
      </c>
      <c r="L26" s="22"/>
      <c r="M26" s="27" t="s">
        <v>15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28</v>
      </c>
      <c r="B28" s="22"/>
      <c r="C28" s="29" t="s">
        <v>17</v>
      </c>
      <c r="D28" s="22"/>
      <c r="E28" s="29" t="s">
        <v>28</v>
      </c>
      <c r="F28" s="22"/>
      <c r="G28" s="29" t="s">
        <v>17</v>
      </c>
      <c r="H28" s="22"/>
      <c r="I28" s="29" t="s">
        <v>17</v>
      </c>
      <c r="J28" s="22"/>
      <c r="K28" s="29" t="s">
        <v>17</v>
      </c>
      <c r="L28" s="22"/>
      <c r="M28" s="29" t="s">
        <v>17</v>
      </c>
      <c r="N28" s="22"/>
    </row>
    <row r="29" spans="1:14" ht="18" customHeight="1">
      <c r="A29" s="30" t="s">
        <v>30</v>
      </c>
      <c r="B29" s="22"/>
      <c r="C29" s="30" t="s">
        <v>29</v>
      </c>
      <c r="D29" s="22"/>
      <c r="E29" s="30" t="s">
        <v>30</v>
      </c>
      <c r="F29" s="22"/>
      <c r="G29" s="30" t="s">
        <v>29</v>
      </c>
      <c r="H29" s="22"/>
      <c r="I29" s="30" t="s">
        <v>29</v>
      </c>
      <c r="J29" s="22"/>
      <c r="K29" s="30" t="s">
        <v>74</v>
      </c>
      <c r="L29" s="22"/>
      <c r="M29" s="30" t="s">
        <v>74</v>
      </c>
      <c r="N29" s="22"/>
    </row>
    <row r="30" spans="1:14" ht="18" customHeight="1">
      <c r="A30" s="2">
        <f>M22+1</f>
        <v>44977</v>
      </c>
      <c r="B30" s="3"/>
      <c r="C30" s="2">
        <f>A30+1</f>
        <v>44978</v>
      </c>
      <c r="D30" s="3"/>
      <c r="E30" s="2">
        <f>C30+1</f>
        <v>44979</v>
      </c>
      <c r="F30" s="3"/>
      <c r="G30" s="2">
        <f>E30+1</f>
        <v>44980</v>
      </c>
      <c r="H30" s="3"/>
      <c r="I30" s="2">
        <f>G30+1</f>
        <v>44981</v>
      </c>
      <c r="J30" s="3"/>
      <c r="K30" s="4">
        <f>I30+1</f>
        <v>44982</v>
      </c>
      <c r="L30" s="5"/>
      <c r="M30" s="4">
        <f>K30+1</f>
        <v>44983</v>
      </c>
      <c r="N30" s="5"/>
    </row>
    <row r="31" spans="1:14" ht="14.1">
      <c r="A31" s="26" t="s">
        <v>39</v>
      </c>
      <c r="B31" s="22"/>
      <c r="C31" s="26" t="s">
        <v>11</v>
      </c>
      <c r="D31" s="22"/>
      <c r="E31" s="26" t="s">
        <v>11</v>
      </c>
      <c r="F31" s="22"/>
      <c r="G31" s="26" t="s">
        <v>11</v>
      </c>
      <c r="H31" s="22"/>
      <c r="I31" s="34" t="s">
        <v>24</v>
      </c>
      <c r="J31" s="22"/>
      <c r="K31" s="34" t="s">
        <v>24</v>
      </c>
      <c r="L31" s="22"/>
      <c r="M31" s="34" t="s">
        <v>24</v>
      </c>
      <c r="N31" s="22"/>
    </row>
    <row r="32" spans="1:14" ht="14.1">
      <c r="A32" s="25" t="s">
        <v>59</v>
      </c>
      <c r="B32" s="22"/>
      <c r="C32" s="25" t="s">
        <v>59</v>
      </c>
      <c r="D32" s="22"/>
      <c r="E32" s="25" t="s">
        <v>59</v>
      </c>
      <c r="F32" s="22"/>
      <c r="G32" s="25" t="s">
        <v>59</v>
      </c>
      <c r="H32" s="22"/>
      <c r="I32" s="24" t="s">
        <v>12</v>
      </c>
      <c r="J32" s="22"/>
      <c r="K32" s="24" t="s">
        <v>12</v>
      </c>
      <c r="L32" s="22"/>
      <c r="M32" s="24" t="s">
        <v>12</v>
      </c>
      <c r="N32" s="22"/>
    </row>
    <row r="33" spans="1:14" ht="14.1">
      <c r="A33" s="23" t="s">
        <v>45</v>
      </c>
      <c r="B33" s="22"/>
      <c r="C33" s="23" t="s">
        <v>9</v>
      </c>
      <c r="D33" s="22"/>
      <c r="E33" s="23" t="s">
        <v>31</v>
      </c>
      <c r="F33" s="22"/>
      <c r="G33" s="23" t="s">
        <v>9</v>
      </c>
      <c r="H33" s="22"/>
      <c r="I33" s="23" t="s">
        <v>31</v>
      </c>
      <c r="J33" s="22"/>
      <c r="K33" s="33" t="s">
        <v>40</v>
      </c>
      <c r="L33" s="22"/>
      <c r="M33" s="33" t="s">
        <v>40</v>
      </c>
      <c r="N33" s="22"/>
    </row>
    <row r="34" spans="1:14" ht="14.1">
      <c r="A34" s="21" t="s">
        <v>15</v>
      </c>
      <c r="B34" s="22"/>
      <c r="C34" s="21" t="s">
        <v>15</v>
      </c>
      <c r="D34" s="22"/>
      <c r="E34" s="21" t="s">
        <v>15</v>
      </c>
      <c r="F34" s="22"/>
      <c r="G34" s="21" t="s">
        <v>15</v>
      </c>
      <c r="H34" s="22"/>
      <c r="I34" s="27" t="s">
        <v>24</v>
      </c>
      <c r="J34" s="22"/>
      <c r="K34" s="27" t="s">
        <v>24</v>
      </c>
      <c r="L34" s="22"/>
      <c r="M34" s="27" t="s">
        <v>24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28</v>
      </c>
      <c r="B36" s="22"/>
      <c r="C36" s="29" t="s">
        <v>303</v>
      </c>
      <c r="D36" s="22"/>
      <c r="E36" s="29" t="s">
        <v>28</v>
      </c>
      <c r="F36" s="22"/>
      <c r="G36" s="28" t="s">
        <v>27</v>
      </c>
      <c r="H36" s="22"/>
      <c r="I36" s="28" t="s">
        <v>71</v>
      </c>
      <c r="J36" s="22"/>
      <c r="K36" s="28" t="s">
        <v>26</v>
      </c>
      <c r="L36" s="22"/>
      <c r="M36" s="28" t="s">
        <v>26</v>
      </c>
      <c r="N36" s="22"/>
    </row>
    <row r="37" spans="1:14" ht="18" customHeight="1">
      <c r="A37" s="30" t="s">
        <v>50</v>
      </c>
      <c r="B37" s="22"/>
      <c r="C37" s="30" t="s">
        <v>50</v>
      </c>
      <c r="D37" s="22"/>
      <c r="E37" s="30" t="s">
        <v>50</v>
      </c>
      <c r="F37" s="22"/>
      <c r="G37" s="30" t="s">
        <v>50</v>
      </c>
      <c r="H37" s="22"/>
      <c r="I37" s="30" t="s">
        <v>117</v>
      </c>
      <c r="J37" s="22"/>
      <c r="K37" s="30" t="s">
        <v>58</v>
      </c>
      <c r="L37" s="22"/>
      <c r="M37" s="30" t="s">
        <v>58</v>
      </c>
      <c r="N37" s="22"/>
    </row>
    <row r="38" spans="1:14" ht="18" customHeight="1">
      <c r="A38" s="2">
        <f>IF(M30="","",IF(MONTH(M30+1)&lt;&gt;MONTH($A$1),"",M30+1))</f>
        <v>44984</v>
      </c>
      <c r="B38" s="3"/>
      <c r="C38" s="2">
        <f>IF(A38="","",IF(MONTH(A38+1)&lt;&gt;MONTH($A$1),"",A38+1))</f>
        <v>44985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/>
      <c r="B39" s="22"/>
      <c r="C39" s="34"/>
      <c r="D39" s="22"/>
      <c r="E39" s="26"/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25"/>
      <c r="B40" s="22"/>
      <c r="C40" s="24"/>
      <c r="D40" s="22"/>
      <c r="E40" s="25"/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/>
      <c r="B41" s="22"/>
      <c r="C41" s="33"/>
      <c r="D41" s="22"/>
      <c r="E41" s="23"/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4.1">
      <c r="A42" s="21"/>
      <c r="B42" s="22"/>
      <c r="C42" s="27"/>
      <c r="D42" s="22"/>
      <c r="E42" s="21"/>
      <c r="F42" s="22"/>
      <c r="G42" s="27"/>
      <c r="H42" s="22"/>
      <c r="I42" s="27"/>
      <c r="J42" s="22"/>
      <c r="K42" s="27"/>
      <c r="L42" s="22"/>
      <c r="M42" s="27"/>
      <c r="N42" s="22"/>
    </row>
    <row r="43" spans="1:14" ht="14.1">
      <c r="A43" s="59"/>
      <c r="B43" s="22"/>
      <c r="C43" s="60"/>
      <c r="D43" s="22"/>
      <c r="E43" s="59"/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/>
      <c r="B44" s="22"/>
      <c r="C44" s="28"/>
      <c r="D44" s="22"/>
      <c r="E44" s="29"/>
      <c r="F44" s="22"/>
      <c r="G44" s="28"/>
      <c r="H44" s="22"/>
      <c r="I44" s="28"/>
      <c r="J44" s="22"/>
      <c r="K44" s="28"/>
      <c r="L44" s="22"/>
      <c r="M44" s="28"/>
      <c r="N44" s="22"/>
    </row>
    <row r="45" spans="1:14" ht="18" customHeight="1">
      <c r="A45" s="30"/>
      <c r="B45" s="22"/>
      <c r="C45" s="32"/>
      <c r="D45" s="31"/>
      <c r="E45" s="30"/>
      <c r="F45" s="22"/>
      <c r="G45" s="32"/>
      <c r="H45" s="31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/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304</v>
      </c>
    </row>
    <row r="4" spans="1:2" ht="12.6">
      <c r="A4" s="13" t="s">
        <v>305</v>
      </c>
    </row>
    <row r="5" spans="1:2" ht="14.1">
      <c r="A5" s="14"/>
    </row>
    <row r="6" spans="1:2" ht="14.1">
      <c r="A6" s="14" t="s">
        <v>306</v>
      </c>
    </row>
    <row r="7" spans="1:2" ht="14.1">
      <c r="A7" s="12"/>
    </row>
    <row r="8" spans="1:2" ht="27.95">
      <c r="A8" s="12" t="s">
        <v>307</v>
      </c>
    </row>
    <row r="9" spans="1:2" ht="12.6">
      <c r="A9" s="18"/>
    </row>
    <row r="10" spans="1:2" ht="27.95">
      <c r="A10" s="12" t="s">
        <v>308</v>
      </c>
    </row>
    <row r="11" spans="1:2" ht="12.6">
      <c r="A11" s="18"/>
    </row>
    <row r="12" spans="1:2" ht="14.1">
      <c r="A12" s="14" t="s">
        <v>309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310</v>
      </c>
    </row>
    <row r="17" spans="1:1" ht="14.1">
      <c r="A17" s="16">
        <v>44743</v>
      </c>
    </row>
    <row r="18" spans="1:1" ht="14.1">
      <c r="A18" s="12"/>
    </row>
    <row r="19" spans="1:1" ht="14.1">
      <c r="A19" s="12" t="s">
        <v>311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'©'!A17</f>
        <v>44743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JULY 2022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44746</v>
      </c>
      <c r="B5" s="51"/>
      <c r="C5" s="50">
        <f>C14</f>
        <v>44747</v>
      </c>
      <c r="D5" s="51"/>
      <c r="E5" s="50">
        <f>E14</f>
        <v>44748</v>
      </c>
      <c r="F5" s="51"/>
      <c r="G5" s="50">
        <f>G14</f>
        <v>44749</v>
      </c>
      <c r="H5" s="51"/>
      <c r="I5" s="50">
        <f>I14</f>
        <v>44750</v>
      </c>
      <c r="J5" s="51"/>
      <c r="K5" s="50">
        <f>K14</f>
        <v>44751</v>
      </c>
      <c r="L5" s="51"/>
      <c r="M5" s="50">
        <f>M14</f>
        <v>44752</v>
      </c>
      <c r="N5" s="51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>
        <f>IF(G6="",IF(WEEKDAY($A$1,1)=MOD(startday,7)+4,$A$1,""),G6+1)</f>
        <v>44743</v>
      </c>
      <c r="J6" s="5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26"/>
      <c r="B7" s="22"/>
      <c r="C7" s="34"/>
      <c r="D7" s="22"/>
      <c r="E7" s="26" t="s">
        <v>9</v>
      </c>
      <c r="F7" s="22"/>
      <c r="G7" s="34" t="s">
        <v>9</v>
      </c>
      <c r="H7" s="22"/>
      <c r="I7" s="34" t="s">
        <v>10</v>
      </c>
      <c r="J7" s="22"/>
      <c r="K7" s="34" t="s">
        <v>11</v>
      </c>
      <c r="L7" s="22"/>
      <c r="M7" s="34" t="s">
        <v>11</v>
      </c>
      <c r="N7" s="22"/>
    </row>
    <row r="8" spans="1:14" ht="14.1">
      <c r="A8" s="25"/>
      <c r="B8" s="22"/>
      <c r="C8" s="24"/>
      <c r="D8" s="22"/>
      <c r="E8" s="25" t="s">
        <v>12</v>
      </c>
      <c r="F8" s="22"/>
      <c r="G8" s="24" t="s">
        <v>12</v>
      </c>
      <c r="H8" s="22"/>
      <c r="I8" s="24" t="s">
        <v>12</v>
      </c>
      <c r="J8" s="22"/>
      <c r="K8" s="24" t="s">
        <v>12</v>
      </c>
      <c r="L8" s="22"/>
      <c r="M8" s="24" t="s">
        <v>12</v>
      </c>
      <c r="N8" s="22"/>
    </row>
    <row r="9" spans="1:14" ht="14.1">
      <c r="A9" s="23"/>
      <c r="B9" s="22"/>
      <c r="C9" s="33"/>
      <c r="D9" s="22"/>
      <c r="E9" s="23" t="s">
        <v>13</v>
      </c>
      <c r="F9" s="22"/>
      <c r="G9" s="33" t="s">
        <v>13</v>
      </c>
      <c r="H9" s="22"/>
      <c r="I9" s="33" t="s">
        <v>112</v>
      </c>
      <c r="J9" s="22"/>
      <c r="K9" s="33" t="s">
        <v>14</v>
      </c>
      <c r="L9" s="22"/>
      <c r="M9" s="33" t="s">
        <v>14</v>
      </c>
      <c r="N9" s="22"/>
    </row>
    <row r="10" spans="1:14" ht="14.1">
      <c r="A10" s="21"/>
      <c r="B10" s="22"/>
      <c r="C10" s="27"/>
      <c r="D10" s="22"/>
      <c r="E10" s="21" t="s">
        <v>15</v>
      </c>
      <c r="F10" s="22"/>
      <c r="G10" s="27" t="s">
        <v>15</v>
      </c>
      <c r="H10" s="22"/>
      <c r="I10" s="27" t="s">
        <v>15</v>
      </c>
      <c r="J10" s="22"/>
      <c r="K10" s="27" t="s">
        <v>15</v>
      </c>
      <c r="L10" s="22"/>
      <c r="M10" s="27" t="s">
        <v>15</v>
      </c>
      <c r="N10" s="22"/>
    </row>
    <row r="11" spans="1:14" ht="14.1">
      <c r="A11" s="59"/>
      <c r="B11" s="22"/>
      <c r="C11" s="60"/>
      <c r="D11" s="22"/>
      <c r="E11" s="59" t="s">
        <v>16</v>
      </c>
      <c r="F11" s="22"/>
      <c r="G11" s="60" t="s">
        <v>16</v>
      </c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28"/>
      <c r="D12" s="22"/>
      <c r="E12" s="29" t="s">
        <v>17</v>
      </c>
      <c r="F12" s="22"/>
      <c r="G12" s="28" t="s">
        <v>312</v>
      </c>
      <c r="H12" s="22"/>
      <c r="I12" s="28" t="s">
        <v>18</v>
      </c>
      <c r="J12" s="22"/>
      <c r="K12" s="28" t="s">
        <v>19</v>
      </c>
      <c r="L12" s="22"/>
      <c r="M12" s="28" t="s">
        <v>19</v>
      </c>
      <c r="N12" s="22"/>
    </row>
    <row r="13" spans="1:14" ht="18" customHeight="1">
      <c r="A13" s="30"/>
      <c r="B13" s="22"/>
      <c r="C13" s="32"/>
      <c r="D13" s="31"/>
      <c r="E13" s="30" t="s">
        <v>20</v>
      </c>
      <c r="F13" s="22"/>
      <c r="G13" s="32" t="s">
        <v>21</v>
      </c>
      <c r="H13" s="31"/>
      <c r="I13" s="32" t="s">
        <v>21</v>
      </c>
      <c r="J13" s="31"/>
      <c r="K13" s="32" t="s">
        <v>21</v>
      </c>
      <c r="L13" s="31"/>
      <c r="M13" s="32" t="s">
        <v>21</v>
      </c>
      <c r="N13" s="31"/>
    </row>
    <row r="14" spans="1:14" ht="18" customHeight="1">
      <c r="A14" s="4">
        <f>M6+1</f>
        <v>44746</v>
      </c>
      <c r="B14" s="5"/>
      <c r="C14" s="4">
        <f>A14+1</f>
        <v>44747</v>
      </c>
      <c r="D14" s="5"/>
      <c r="E14" s="4">
        <f>C14+1</f>
        <v>44748</v>
      </c>
      <c r="F14" s="5"/>
      <c r="G14" s="4">
        <f>E14+1</f>
        <v>44749</v>
      </c>
      <c r="H14" s="5"/>
      <c r="I14" s="4">
        <f>G14+1</f>
        <v>44750</v>
      </c>
      <c r="J14" s="5"/>
      <c r="K14" s="4">
        <f>I14+1</f>
        <v>44751</v>
      </c>
      <c r="L14" s="5"/>
      <c r="M14" s="4">
        <f>K14+1</f>
        <v>44752</v>
      </c>
      <c r="N14" s="5"/>
    </row>
    <row r="15" spans="1:14" ht="14.1">
      <c r="A15" s="26" t="s">
        <v>83</v>
      </c>
      <c r="B15" s="22"/>
      <c r="C15" s="34" t="s">
        <v>11</v>
      </c>
      <c r="D15" s="22"/>
      <c r="E15" s="26" t="s">
        <v>39</v>
      </c>
      <c r="F15" s="22"/>
      <c r="G15" s="34" t="s">
        <v>11</v>
      </c>
      <c r="H15" s="22"/>
      <c r="I15" s="34" t="s">
        <v>105</v>
      </c>
      <c r="J15" s="22"/>
      <c r="K15" s="34" t="s">
        <v>24</v>
      </c>
      <c r="L15" s="22"/>
      <c r="M15" s="34" t="s">
        <v>313</v>
      </c>
      <c r="N15" s="22"/>
    </row>
    <row r="16" spans="1:14" ht="14.1">
      <c r="A16" s="25" t="s">
        <v>25</v>
      </c>
      <c r="B16" s="22"/>
      <c r="C16" s="25" t="s">
        <v>25</v>
      </c>
      <c r="D16" s="22"/>
      <c r="E16" s="25" t="s">
        <v>25</v>
      </c>
      <c r="F16" s="22"/>
      <c r="G16" s="25" t="s">
        <v>25</v>
      </c>
      <c r="H16" s="22"/>
      <c r="I16" s="25" t="s">
        <v>25</v>
      </c>
      <c r="J16" s="22"/>
      <c r="K16" s="25" t="s">
        <v>25</v>
      </c>
      <c r="L16" s="22"/>
      <c r="M16" s="25" t="s">
        <v>25</v>
      </c>
      <c r="N16" s="22"/>
    </row>
    <row r="17" spans="1:14" ht="14.1">
      <c r="A17" s="23" t="s">
        <v>13</v>
      </c>
      <c r="B17" s="22"/>
      <c r="C17" s="33" t="s">
        <v>31</v>
      </c>
      <c r="D17" s="22"/>
      <c r="E17" s="23" t="s">
        <v>9</v>
      </c>
      <c r="F17" s="22"/>
      <c r="G17" s="33" t="s">
        <v>40</v>
      </c>
      <c r="H17" s="22"/>
      <c r="I17" s="33" t="s">
        <v>82</v>
      </c>
      <c r="J17" s="22"/>
      <c r="K17" s="33" t="s">
        <v>40</v>
      </c>
      <c r="L17" s="22"/>
      <c r="M17" s="33" t="s">
        <v>82</v>
      </c>
      <c r="N17" s="22"/>
    </row>
    <row r="18" spans="1:14" ht="14.1">
      <c r="A18" s="21" t="s">
        <v>24</v>
      </c>
      <c r="B18" s="22"/>
      <c r="C18" s="21" t="s">
        <v>24</v>
      </c>
      <c r="D18" s="22"/>
      <c r="E18" s="21" t="s">
        <v>24</v>
      </c>
      <c r="F18" s="22"/>
      <c r="G18" s="21" t="s">
        <v>24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13</v>
      </c>
      <c r="B19" s="22"/>
      <c r="C19" s="59" t="s">
        <v>13</v>
      </c>
      <c r="D19" s="22"/>
      <c r="E19" s="59" t="s">
        <v>13</v>
      </c>
      <c r="F19" s="22"/>
      <c r="G19" s="59" t="s">
        <v>13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18</v>
      </c>
      <c r="B20" s="22"/>
      <c r="C20" s="29" t="s">
        <v>18</v>
      </c>
      <c r="D20" s="22"/>
      <c r="E20" s="29" t="s">
        <v>17</v>
      </c>
      <c r="F20" s="22"/>
      <c r="G20" s="28" t="s">
        <v>18</v>
      </c>
      <c r="H20" s="22"/>
      <c r="I20" s="28" t="s">
        <v>314</v>
      </c>
      <c r="J20" s="22"/>
      <c r="K20" s="28" t="s">
        <v>36</v>
      </c>
      <c r="L20" s="22"/>
      <c r="M20" s="28" t="s">
        <v>36</v>
      </c>
      <c r="N20" s="22"/>
    </row>
    <row r="21" spans="1:14" ht="18" customHeight="1">
      <c r="A21" s="30" t="s">
        <v>50</v>
      </c>
      <c r="B21" s="22"/>
      <c r="C21" s="30" t="s">
        <v>50</v>
      </c>
      <c r="D21" s="22"/>
      <c r="E21" s="30" t="s">
        <v>50</v>
      </c>
      <c r="F21" s="22"/>
      <c r="G21" s="30" t="s">
        <v>50</v>
      </c>
      <c r="H21" s="22"/>
      <c r="I21" s="30" t="s">
        <v>50</v>
      </c>
      <c r="J21" s="22"/>
      <c r="K21" s="30" t="s">
        <v>50</v>
      </c>
      <c r="L21" s="22"/>
      <c r="M21" s="30" t="s">
        <v>50</v>
      </c>
      <c r="N21" s="22"/>
    </row>
    <row r="22" spans="1:14" ht="18" customHeight="1">
      <c r="A22" s="4">
        <f>M14+1</f>
        <v>44753</v>
      </c>
      <c r="B22" s="5"/>
      <c r="C22" s="4">
        <f>A22+1</f>
        <v>44754</v>
      </c>
      <c r="D22" s="5"/>
      <c r="E22" s="4">
        <f>C22+1</f>
        <v>44755</v>
      </c>
      <c r="F22" s="5"/>
      <c r="G22" s="4">
        <f>E22+1</f>
        <v>44756</v>
      </c>
      <c r="H22" s="5"/>
      <c r="I22" s="4">
        <f>G22+1</f>
        <v>44757</v>
      </c>
      <c r="J22" s="5"/>
      <c r="K22" s="4">
        <f>I22+1</f>
        <v>44758</v>
      </c>
      <c r="L22" s="5"/>
      <c r="M22" s="4">
        <f>K22+1</f>
        <v>44759</v>
      </c>
      <c r="N22" s="5"/>
    </row>
    <row r="23" spans="1:14" ht="14.1">
      <c r="A23" s="26" t="s">
        <v>85</v>
      </c>
      <c r="B23" s="22"/>
      <c r="C23" s="34" t="s">
        <v>24</v>
      </c>
      <c r="D23" s="22"/>
      <c r="E23" s="26" t="s">
        <v>135</v>
      </c>
      <c r="F23" s="22"/>
      <c r="G23" s="34" t="s">
        <v>24</v>
      </c>
      <c r="H23" s="22"/>
      <c r="I23" s="34" t="s">
        <v>49</v>
      </c>
      <c r="J23" s="22"/>
      <c r="K23" s="34" t="s">
        <v>50</v>
      </c>
      <c r="L23" s="22"/>
      <c r="M23" s="34" t="s">
        <v>50</v>
      </c>
      <c r="N23" s="22"/>
    </row>
    <row r="24" spans="1:14" ht="14.1">
      <c r="A24" s="25" t="s">
        <v>59</v>
      </c>
      <c r="B24" s="22"/>
      <c r="C24" s="25" t="s">
        <v>59</v>
      </c>
      <c r="D24" s="22"/>
      <c r="E24" s="25" t="s">
        <v>59</v>
      </c>
      <c r="F24" s="22"/>
      <c r="G24" s="25" t="s">
        <v>59</v>
      </c>
      <c r="H24" s="22"/>
      <c r="I24" s="25" t="s">
        <v>59</v>
      </c>
      <c r="J24" s="22"/>
      <c r="K24" s="25" t="s">
        <v>59</v>
      </c>
      <c r="L24" s="22"/>
      <c r="M24" s="25" t="s">
        <v>59</v>
      </c>
      <c r="N24" s="22"/>
    </row>
    <row r="25" spans="1:14" ht="14.1">
      <c r="A25" s="23" t="s">
        <v>9</v>
      </c>
      <c r="B25" s="22"/>
      <c r="C25" s="33" t="s">
        <v>31</v>
      </c>
      <c r="D25" s="22"/>
      <c r="E25" s="23" t="s">
        <v>53</v>
      </c>
      <c r="F25" s="22"/>
      <c r="G25" s="33" t="s">
        <v>31</v>
      </c>
      <c r="H25" s="22"/>
      <c r="I25" s="33" t="s">
        <v>11</v>
      </c>
      <c r="J25" s="22"/>
      <c r="K25" s="33" t="s">
        <v>10</v>
      </c>
      <c r="L25" s="22"/>
      <c r="M25" s="33" t="s">
        <v>297</v>
      </c>
      <c r="N25" s="22"/>
    </row>
    <row r="26" spans="1:14" ht="14.1">
      <c r="A26" s="21" t="s">
        <v>15</v>
      </c>
      <c r="B26" s="22"/>
      <c r="C26" s="21" t="s">
        <v>15</v>
      </c>
      <c r="D26" s="22"/>
      <c r="E26" s="21" t="s">
        <v>15</v>
      </c>
      <c r="F26" s="22"/>
      <c r="G26" s="21" t="s">
        <v>15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25</v>
      </c>
      <c r="B27" s="22"/>
      <c r="C27" s="59" t="s">
        <v>25</v>
      </c>
      <c r="D27" s="22"/>
      <c r="E27" s="59" t="s">
        <v>25</v>
      </c>
      <c r="F27" s="22"/>
      <c r="G27" s="59" t="s">
        <v>25</v>
      </c>
      <c r="H27" s="22"/>
      <c r="I27" s="59" t="s">
        <v>25</v>
      </c>
      <c r="J27" s="22"/>
      <c r="K27" s="59" t="s">
        <v>25</v>
      </c>
      <c r="L27" s="22"/>
      <c r="M27" s="59" t="s">
        <v>25</v>
      </c>
      <c r="N27" s="22"/>
    </row>
    <row r="28" spans="1:14" ht="14.1">
      <c r="A28" s="29" t="s">
        <v>18</v>
      </c>
      <c r="B28" s="22"/>
      <c r="C28" s="29" t="s">
        <v>18</v>
      </c>
      <c r="D28" s="22"/>
      <c r="E28" s="29" t="s">
        <v>26</v>
      </c>
      <c r="F28" s="22"/>
      <c r="G28" s="28" t="s">
        <v>18</v>
      </c>
      <c r="H28" s="22"/>
      <c r="I28" s="28" t="s">
        <v>26</v>
      </c>
      <c r="J28" s="22"/>
      <c r="K28" s="28" t="s">
        <v>26</v>
      </c>
      <c r="L28" s="22"/>
      <c r="M28" s="28" t="s">
        <v>26</v>
      </c>
      <c r="N28" s="22"/>
    </row>
    <row r="29" spans="1:14" ht="18" customHeight="1">
      <c r="A29" s="30" t="s">
        <v>30</v>
      </c>
      <c r="B29" s="22"/>
      <c r="C29" s="30" t="s">
        <v>30</v>
      </c>
      <c r="D29" s="22"/>
      <c r="E29" s="30" t="s">
        <v>315</v>
      </c>
      <c r="F29" s="22"/>
      <c r="G29" s="30" t="s">
        <v>30</v>
      </c>
      <c r="H29" s="22"/>
      <c r="I29" s="30" t="s">
        <v>315</v>
      </c>
      <c r="J29" s="22"/>
      <c r="K29" s="30" t="s">
        <v>41</v>
      </c>
      <c r="L29" s="22"/>
      <c r="M29" s="30" t="s">
        <v>41</v>
      </c>
      <c r="N29" s="22"/>
    </row>
    <row r="30" spans="1:14" ht="18" customHeight="1">
      <c r="A30" s="4">
        <f>M22+1</f>
        <v>44760</v>
      </c>
      <c r="B30" s="5"/>
      <c r="C30" s="4">
        <f>A30+1</f>
        <v>44761</v>
      </c>
      <c r="D30" s="5"/>
      <c r="E30" s="4">
        <f>C30+1</f>
        <v>44762</v>
      </c>
      <c r="F30" s="5"/>
      <c r="G30" s="4">
        <f>E30+1</f>
        <v>44763</v>
      </c>
      <c r="H30" s="5"/>
      <c r="I30" s="4">
        <f>G30+1</f>
        <v>44764</v>
      </c>
      <c r="J30" s="5"/>
      <c r="K30" s="4">
        <f>I30+1</f>
        <v>44765</v>
      </c>
      <c r="L30" s="5"/>
      <c r="M30" s="4">
        <f>K30+1</f>
        <v>44766</v>
      </c>
      <c r="N30" s="5"/>
    </row>
    <row r="31" spans="1:14" ht="14.1">
      <c r="A31" s="26" t="s">
        <v>93</v>
      </c>
      <c r="B31" s="22"/>
      <c r="C31" s="34" t="s">
        <v>50</v>
      </c>
      <c r="D31" s="22"/>
      <c r="E31" s="34" t="s">
        <v>50</v>
      </c>
      <c r="F31" s="22"/>
      <c r="G31" s="34" t="s">
        <v>50</v>
      </c>
      <c r="H31" s="22"/>
      <c r="I31" s="34" t="s">
        <v>9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25" t="s">
        <v>42</v>
      </c>
      <c r="B32" s="22"/>
      <c r="C32" s="25" t="s">
        <v>42</v>
      </c>
      <c r="D32" s="22"/>
      <c r="E32" s="25" t="s">
        <v>42</v>
      </c>
      <c r="F32" s="22"/>
      <c r="G32" s="25" t="s">
        <v>42</v>
      </c>
      <c r="H32" s="22"/>
      <c r="I32" s="25" t="s">
        <v>42</v>
      </c>
      <c r="J32" s="22"/>
      <c r="K32" s="25" t="s">
        <v>42</v>
      </c>
      <c r="L32" s="22"/>
      <c r="M32" s="25" t="s">
        <v>42</v>
      </c>
      <c r="N32" s="22"/>
    </row>
    <row r="33" spans="1:14" ht="14.1">
      <c r="A33" s="23" t="s">
        <v>9</v>
      </c>
      <c r="B33" s="22"/>
      <c r="C33" s="33" t="s">
        <v>9</v>
      </c>
      <c r="D33" s="22"/>
      <c r="E33" s="23" t="s">
        <v>9</v>
      </c>
      <c r="F33" s="22"/>
      <c r="G33" s="33" t="s">
        <v>9</v>
      </c>
      <c r="H33" s="22"/>
      <c r="I33" s="33" t="s">
        <v>13</v>
      </c>
      <c r="J33" s="22"/>
      <c r="K33" s="33" t="s">
        <v>55</v>
      </c>
      <c r="L33" s="22"/>
      <c r="M33" s="33" t="s">
        <v>55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25</v>
      </c>
      <c r="B35" s="22"/>
      <c r="C35" s="60" t="s">
        <v>43</v>
      </c>
      <c r="D35" s="22"/>
      <c r="E35" s="60" t="s">
        <v>43</v>
      </c>
      <c r="F35" s="22"/>
      <c r="G35" s="60" t="s">
        <v>43</v>
      </c>
      <c r="H35" s="22"/>
      <c r="I35" s="60" t="s">
        <v>43</v>
      </c>
      <c r="J35" s="22"/>
      <c r="K35" s="60" t="s">
        <v>43</v>
      </c>
      <c r="L35" s="22"/>
      <c r="M35" s="60" t="s">
        <v>43</v>
      </c>
      <c r="N35" s="22"/>
    </row>
    <row r="36" spans="1:14" ht="14.1">
      <c r="A36" s="29" t="s">
        <v>17</v>
      </c>
      <c r="B36" s="22"/>
      <c r="C36" s="29" t="s">
        <v>17</v>
      </c>
      <c r="D36" s="22"/>
      <c r="E36" s="29" t="s">
        <v>17</v>
      </c>
      <c r="F36" s="22"/>
      <c r="G36" s="29" t="s">
        <v>17</v>
      </c>
      <c r="H36" s="22"/>
      <c r="I36" s="28" t="s">
        <v>17</v>
      </c>
      <c r="J36" s="22"/>
      <c r="K36" s="28" t="s">
        <v>17</v>
      </c>
      <c r="L36" s="22"/>
      <c r="M36" s="28" t="s">
        <v>17</v>
      </c>
      <c r="N36" s="22"/>
    </row>
    <row r="37" spans="1:14" ht="18" customHeight="1">
      <c r="A37" s="30" t="s">
        <v>315</v>
      </c>
      <c r="B37" s="22"/>
      <c r="C37" s="32" t="s">
        <v>315</v>
      </c>
      <c r="D37" s="31"/>
      <c r="E37" s="32" t="s">
        <v>315</v>
      </c>
      <c r="F37" s="31"/>
      <c r="G37" s="32" t="s">
        <v>315</v>
      </c>
      <c r="H37" s="31"/>
      <c r="I37" s="32" t="s">
        <v>316</v>
      </c>
      <c r="J37" s="31"/>
      <c r="K37" s="32" t="s">
        <v>74</v>
      </c>
      <c r="L37" s="31"/>
      <c r="M37" s="32" t="s">
        <v>74</v>
      </c>
      <c r="N37" s="31"/>
    </row>
    <row r="38" spans="1:14" ht="18" customHeight="1">
      <c r="A38" s="4">
        <f>IF(M30="","",IF(MONTH(M30+1)&lt;&gt;MONTH($A$1),"",M30+1))</f>
        <v>44767</v>
      </c>
      <c r="B38" s="5"/>
      <c r="C38" s="4">
        <f>IF(A38="","",IF(MONTH(A38+1)&lt;&gt;MONTH($A$1),"",A38+1))</f>
        <v>44768</v>
      </c>
      <c r="D38" s="5"/>
      <c r="E38" s="4">
        <f>IF(C38="","",IF(MONTH(C38+1)&lt;&gt;MONTH($A$1),"",C38+1))</f>
        <v>44769</v>
      </c>
      <c r="F38" s="5"/>
      <c r="G38" s="4">
        <f>IF(E38="","",IF(MONTH(E38+1)&lt;&gt;MONTH($A$1),"",E38+1))</f>
        <v>44770</v>
      </c>
      <c r="H38" s="5"/>
      <c r="I38" s="4">
        <f>IF(G38="","",IF(MONTH(G38+1)&lt;&gt;MONTH($A$1),"",G38+1))</f>
        <v>44771</v>
      </c>
      <c r="J38" s="5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26" t="s">
        <v>53</v>
      </c>
      <c r="B39" s="22"/>
      <c r="C39" s="34" t="s">
        <v>9</v>
      </c>
      <c r="D39" s="22"/>
      <c r="E39" s="26" t="s">
        <v>31</v>
      </c>
      <c r="F39" s="22"/>
      <c r="G39" s="34" t="s">
        <v>9</v>
      </c>
      <c r="H39" s="22"/>
      <c r="I39" s="34" t="s">
        <v>10</v>
      </c>
      <c r="J39" s="22"/>
      <c r="K39" s="34"/>
      <c r="L39" s="22"/>
      <c r="M39" s="34"/>
      <c r="N39" s="22"/>
    </row>
    <row r="40" spans="1:14" ht="14.1">
      <c r="A40" s="25" t="s">
        <v>16</v>
      </c>
      <c r="B40" s="22"/>
      <c r="C40" s="25" t="s">
        <v>16</v>
      </c>
      <c r="D40" s="22"/>
      <c r="E40" s="25" t="s">
        <v>16</v>
      </c>
      <c r="F40" s="22"/>
      <c r="G40" s="25" t="s">
        <v>16</v>
      </c>
      <c r="H40" s="22"/>
      <c r="I40" s="25" t="s">
        <v>16</v>
      </c>
      <c r="J40" s="22"/>
      <c r="K40" s="24"/>
      <c r="L40" s="22"/>
      <c r="M40" s="24"/>
      <c r="N40" s="22"/>
    </row>
    <row r="41" spans="1:14" ht="14.1">
      <c r="A41" s="23" t="s">
        <v>112</v>
      </c>
      <c r="B41" s="22"/>
      <c r="C41" s="33" t="s">
        <v>13</v>
      </c>
      <c r="D41" s="22"/>
      <c r="E41" s="23" t="s">
        <v>14</v>
      </c>
      <c r="F41" s="22"/>
      <c r="G41" s="33" t="s">
        <v>13</v>
      </c>
      <c r="H41" s="22"/>
      <c r="I41" s="33" t="s">
        <v>13</v>
      </c>
      <c r="J41" s="22"/>
      <c r="K41" s="33"/>
      <c r="L41" s="22"/>
      <c r="M41" s="33"/>
      <c r="N41" s="22"/>
    </row>
    <row r="42" spans="1:14" ht="14.1">
      <c r="A42" s="21" t="s">
        <v>15</v>
      </c>
      <c r="B42" s="22"/>
      <c r="C42" s="21" t="s">
        <v>15</v>
      </c>
      <c r="D42" s="22"/>
      <c r="E42" s="21" t="s">
        <v>15</v>
      </c>
      <c r="F42" s="22"/>
      <c r="G42" s="21" t="s">
        <v>15</v>
      </c>
      <c r="H42" s="22"/>
      <c r="I42" s="21" t="s">
        <v>15</v>
      </c>
      <c r="J42" s="22"/>
      <c r="K42" s="27"/>
      <c r="L42" s="22"/>
      <c r="M42" s="27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59" t="s">
        <v>25</v>
      </c>
      <c r="J43" s="22"/>
      <c r="K43" s="60"/>
      <c r="L43" s="22"/>
      <c r="M43" s="60"/>
      <c r="N43" s="22"/>
    </row>
    <row r="44" spans="1:14" ht="14.1">
      <c r="A44" s="29" t="s">
        <v>314</v>
      </c>
      <c r="B44" s="22"/>
      <c r="C44" s="28" t="s">
        <v>317</v>
      </c>
      <c r="D44" s="22"/>
      <c r="E44" s="29" t="s">
        <v>314</v>
      </c>
      <c r="F44" s="22"/>
      <c r="G44" s="28" t="s">
        <v>317</v>
      </c>
      <c r="H44" s="22"/>
      <c r="I44" s="28" t="s">
        <v>314</v>
      </c>
      <c r="J44" s="22"/>
      <c r="K44" s="28"/>
      <c r="L44" s="22"/>
      <c r="M44" s="28"/>
      <c r="N44" s="22"/>
    </row>
    <row r="45" spans="1:14" ht="18" customHeight="1">
      <c r="A45" s="30" t="s">
        <v>50</v>
      </c>
      <c r="B45" s="22"/>
      <c r="C45" s="30" t="s">
        <v>50</v>
      </c>
      <c r="D45" s="22"/>
      <c r="E45" s="30" t="s">
        <v>50</v>
      </c>
      <c r="F45" s="22"/>
      <c r="G45" s="30" t="s">
        <v>50</v>
      </c>
      <c r="H45" s="22"/>
      <c r="I45" s="30" t="s">
        <v>50</v>
      </c>
      <c r="J45" s="22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/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EDATE('©'!A17,1)</f>
        <v>44774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AUGUST 2022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44781</v>
      </c>
      <c r="B5" s="51"/>
      <c r="C5" s="50">
        <f>C14</f>
        <v>44782</v>
      </c>
      <c r="D5" s="51"/>
      <c r="E5" s="50">
        <f>E14</f>
        <v>44783</v>
      </c>
      <c r="F5" s="51"/>
      <c r="G5" s="50">
        <f>G14</f>
        <v>44784</v>
      </c>
      <c r="H5" s="51"/>
      <c r="I5" s="50">
        <f>I14</f>
        <v>44785</v>
      </c>
      <c r="J5" s="51"/>
      <c r="K5" s="50">
        <f>K14</f>
        <v>44786</v>
      </c>
      <c r="L5" s="51"/>
      <c r="M5" s="50">
        <f>M14</f>
        <v>44787</v>
      </c>
      <c r="N5" s="51"/>
    </row>
    <row r="6" spans="1:14" ht="18" customHeight="1">
      <c r="A6" s="2">
        <f>IF(WEEKDAY($A$1,1)=startday,$A$1,"")</f>
        <v>44774</v>
      </c>
      <c r="B6" s="3"/>
      <c r="C6" s="2">
        <f>IF(A6="",IF(WEEKDAY($A$1,1)=MOD(startday,7)+1,$A$1,""),A6+1)</f>
        <v>44775</v>
      </c>
      <c r="D6" s="3"/>
      <c r="E6" s="2">
        <f>IF(C6="",IF(WEEKDAY($A$1,1)=MOD(startday,7)+2,$A$1,""),C6+1)</f>
        <v>44776</v>
      </c>
      <c r="F6" s="3"/>
      <c r="G6" s="2">
        <f>IF(E6="",IF(WEEKDAY($A$1,1)=MOD(startday,7)+3,$A$1,""),E6+1)</f>
        <v>44777</v>
      </c>
      <c r="H6" s="3"/>
      <c r="I6" s="2">
        <f>IF(G6="",IF(WEEKDAY($A$1,1)=MOD(startday,7)+4,$A$1,""),G6+1)</f>
        <v>44778</v>
      </c>
      <c r="J6" s="3"/>
      <c r="K6" s="4">
        <f>IF(I6="",IF(WEEKDAY($A$1,1)=MOD(startday,7)+5,$A$1,""),I6+1)</f>
        <v>44779</v>
      </c>
      <c r="L6" s="5"/>
      <c r="M6" s="4">
        <f>IF(K6="",IF(WEEKDAY($A$1,1)=MOD(startday+5,7)+1,$A$1,""),K6+1)</f>
        <v>44780</v>
      </c>
      <c r="N6" s="5"/>
    </row>
    <row r="7" spans="1:14" ht="14.1">
      <c r="A7" s="26"/>
      <c r="B7" s="22"/>
      <c r="C7" s="34"/>
      <c r="D7" s="22"/>
      <c r="E7" s="26"/>
      <c r="F7" s="22"/>
      <c r="G7" s="34"/>
      <c r="H7" s="22"/>
      <c r="I7" s="34"/>
      <c r="J7" s="22"/>
      <c r="K7" s="34" t="s">
        <v>11</v>
      </c>
      <c r="L7" s="22"/>
      <c r="M7" s="34" t="s">
        <v>11</v>
      </c>
      <c r="N7" s="22"/>
    </row>
    <row r="8" spans="1:14" ht="14.1">
      <c r="A8" s="25"/>
      <c r="B8" s="22"/>
      <c r="C8" s="24"/>
      <c r="D8" s="22"/>
      <c r="E8" s="25"/>
      <c r="F8" s="22"/>
      <c r="G8" s="24"/>
      <c r="H8" s="22"/>
      <c r="I8" s="24"/>
      <c r="J8" s="22"/>
      <c r="K8" s="24" t="s">
        <v>16</v>
      </c>
      <c r="L8" s="22"/>
      <c r="M8" s="24" t="s">
        <v>16</v>
      </c>
      <c r="N8" s="22"/>
    </row>
    <row r="9" spans="1:14" ht="14.1">
      <c r="A9" s="23"/>
      <c r="B9" s="22"/>
      <c r="C9" s="33"/>
      <c r="D9" s="22"/>
      <c r="E9" s="23"/>
      <c r="F9" s="22"/>
      <c r="G9" s="33"/>
      <c r="H9" s="22"/>
      <c r="I9" s="33"/>
      <c r="J9" s="22"/>
      <c r="K9" s="33" t="s">
        <v>82</v>
      </c>
      <c r="L9" s="22"/>
      <c r="M9" s="33" t="s">
        <v>40</v>
      </c>
      <c r="N9" s="22"/>
    </row>
    <row r="10" spans="1:14" ht="14.1">
      <c r="A10" s="21"/>
      <c r="B10" s="22"/>
      <c r="C10" s="27"/>
      <c r="D10" s="22"/>
      <c r="E10" s="21"/>
      <c r="F10" s="22"/>
      <c r="G10" s="27"/>
      <c r="H10" s="22"/>
      <c r="I10" s="27"/>
      <c r="J10" s="22"/>
      <c r="K10" s="27" t="s">
        <v>15</v>
      </c>
      <c r="L10" s="22"/>
      <c r="M10" s="27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 t="s">
        <v>36</v>
      </c>
      <c r="L12" s="22"/>
      <c r="M12" s="28" t="s">
        <v>36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/>
      <c r="H13" s="31"/>
      <c r="I13" s="32"/>
      <c r="J13" s="31"/>
      <c r="K13" s="32" t="s">
        <v>50</v>
      </c>
      <c r="L13" s="31"/>
      <c r="M13" s="32" t="s">
        <v>50</v>
      </c>
      <c r="N13" s="31"/>
    </row>
    <row r="14" spans="1:14" ht="18" customHeight="1">
      <c r="A14" s="2">
        <f>M6+1</f>
        <v>44781</v>
      </c>
      <c r="B14" s="3"/>
      <c r="C14" s="2">
        <f>A14+1</f>
        <v>44782</v>
      </c>
      <c r="D14" s="3"/>
      <c r="E14" s="2">
        <f>C14+1</f>
        <v>44783</v>
      </c>
      <c r="F14" s="3"/>
      <c r="G14" s="2">
        <f>E14+1</f>
        <v>44784</v>
      </c>
      <c r="H14" s="3"/>
      <c r="I14" s="2">
        <f>G14+1</f>
        <v>44785</v>
      </c>
      <c r="J14" s="3"/>
      <c r="K14" s="4">
        <f>I14+1</f>
        <v>44786</v>
      </c>
      <c r="L14" s="5"/>
      <c r="M14" s="4">
        <f>K14+1</f>
        <v>44787</v>
      </c>
      <c r="N14" s="5"/>
    </row>
    <row r="15" spans="1:14" ht="14.1">
      <c r="A15" s="26" t="s">
        <v>10</v>
      </c>
      <c r="B15" s="22"/>
      <c r="C15" s="26" t="s">
        <v>11</v>
      </c>
      <c r="D15" s="22"/>
      <c r="E15" s="26" t="s">
        <v>39</v>
      </c>
      <c r="F15" s="22"/>
      <c r="G15" s="26" t="s">
        <v>11</v>
      </c>
      <c r="H15" s="22"/>
      <c r="I15" s="34" t="s">
        <v>50</v>
      </c>
      <c r="J15" s="22"/>
      <c r="K15" s="34" t="s">
        <v>50</v>
      </c>
      <c r="L15" s="22"/>
      <c r="M15" s="34" t="s">
        <v>50</v>
      </c>
      <c r="N15" s="22"/>
    </row>
    <row r="16" spans="1:14" ht="14.1">
      <c r="A16" s="25" t="s">
        <v>12</v>
      </c>
      <c r="B16" s="22"/>
      <c r="C16" s="25" t="s">
        <v>12</v>
      </c>
      <c r="D16" s="22"/>
      <c r="E16" s="25" t="s">
        <v>12</v>
      </c>
      <c r="F16" s="22"/>
      <c r="G16" s="25" t="s">
        <v>12</v>
      </c>
      <c r="H16" s="22"/>
      <c r="I16" s="25" t="s">
        <v>12</v>
      </c>
      <c r="J16" s="22"/>
      <c r="K16" s="25" t="s">
        <v>12</v>
      </c>
      <c r="L16" s="22"/>
      <c r="M16" s="25" t="s">
        <v>12</v>
      </c>
      <c r="N16" s="22"/>
    </row>
    <row r="17" spans="1:14" ht="14.1">
      <c r="A17" s="23" t="s">
        <v>112</v>
      </c>
      <c r="B17" s="22"/>
      <c r="C17" s="33" t="s">
        <v>13</v>
      </c>
      <c r="D17" s="22"/>
      <c r="E17" s="33" t="s">
        <v>55</v>
      </c>
      <c r="F17" s="22"/>
      <c r="G17" s="33" t="s">
        <v>13</v>
      </c>
      <c r="H17" s="22"/>
      <c r="I17" s="33" t="s">
        <v>11</v>
      </c>
      <c r="J17" s="22"/>
      <c r="K17" s="33" t="s">
        <v>10</v>
      </c>
      <c r="L17" s="22"/>
      <c r="M17" s="33" t="s">
        <v>10</v>
      </c>
      <c r="N17" s="22"/>
    </row>
    <row r="18" spans="1:14" ht="14.1">
      <c r="A18" s="21" t="s">
        <v>15</v>
      </c>
      <c r="B18" s="22"/>
      <c r="C18" s="21" t="s">
        <v>15</v>
      </c>
      <c r="D18" s="22"/>
      <c r="E18" s="21" t="s">
        <v>15</v>
      </c>
      <c r="F18" s="22"/>
      <c r="G18" s="21" t="s">
        <v>15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60" t="s">
        <v>16</v>
      </c>
      <c r="F19" s="22"/>
      <c r="G19" s="60" t="s">
        <v>16</v>
      </c>
      <c r="H19" s="22"/>
      <c r="I19" s="60" t="s">
        <v>16</v>
      </c>
      <c r="J19" s="22"/>
      <c r="K19" s="60" t="s">
        <v>16</v>
      </c>
      <c r="L19" s="22"/>
      <c r="M19" s="60" t="s">
        <v>16</v>
      </c>
      <c r="N19" s="22"/>
    </row>
    <row r="20" spans="1:14" ht="14.1">
      <c r="A20" s="29" t="s">
        <v>318</v>
      </c>
      <c r="B20" s="22"/>
      <c r="C20" s="29" t="s">
        <v>318</v>
      </c>
      <c r="D20" s="22"/>
      <c r="E20" s="29" t="s">
        <v>319</v>
      </c>
      <c r="F20" s="22"/>
      <c r="G20" s="29" t="s">
        <v>318</v>
      </c>
      <c r="H20" s="22"/>
      <c r="I20" s="28" t="s">
        <v>318</v>
      </c>
      <c r="J20" s="22"/>
      <c r="K20" s="28" t="s">
        <v>19</v>
      </c>
      <c r="L20" s="22"/>
      <c r="M20" s="28" t="s">
        <v>19</v>
      </c>
      <c r="N20" s="22"/>
    </row>
    <row r="21" spans="1:14" ht="18" customHeight="1">
      <c r="A21" s="30" t="s">
        <v>30</v>
      </c>
      <c r="B21" s="22"/>
      <c r="C21" s="30" t="s">
        <v>30</v>
      </c>
      <c r="D21" s="22"/>
      <c r="E21" s="30" t="s">
        <v>30</v>
      </c>
      <c r="F21" s="22"/>
      <c r="G21" s="30" t="s">
        <v>30</v>
      </c>
      <c r="H21" s="22"/>
      <c r="I21" s="30" t="s">
        <v>30</v>
      </c>
      <c r="J21" s="22"/>
      <c r="K21" s="30" t="s">
        <v>30</v>
      </c>
      <c r="L21" s="22"/>
      <c r="M21" s="30" t="s">
        <v>30</v>
      </c>
      <c r="N21" s="22"/>
    </row>
    <row r="22" spans="1:14" ht="18" customHeight="1">
      <c r="A22" s="2">
        <f>M14+1</f>
        <v>44788</v>
      </c>
      <c r="B22" s="3"/>
      <c r="C22" s="2">
        <f>A22+1</f>
        <v>44789</v>
      </c>
      <c r="D22" s="3"/>
      <c r="E22" s="2">
        <f>C22+1</f>
        <v>44790</v>
      </c>
      <c r="F22" s="3"/>
      <c r="G22" s="2">
        <f>E22+1</f>
        <v>44791</v>
      </c>
      <c r="H22" s="3"/>
      <c r="I22" s="2">
        <f>G22+1</f>
        <v>44792</v>
      </c>
      <c r="J22" s="3"/>
      <c r="K22" s="4">
        <f>I22+1</f>
        <v>44793</v>
      </c>
      <c r="L22" s="5"/>
      <c r="M22" s="4">
        <f>K22+1</f>
        <v>44794</v>
      </c>
      <c r="N22" s="5"/>
    </row>
    <row r="23" spans="1:14" ht="14.1">
      <c r="A23" s="26" t="s">
        <v>52</v>
      </c>
      <c r="B23" s="22"/>
      <c r="C23" s="34" t="s">
        <v>50</v>
      </c>
      <c r="D23" s="22"/>
      <c r="E23" s="26" t="s">
        <v>93</v>
      </c>
      <c r="F23" s="22"/>
      <c r="G23" s="34" t="s">
        <v>50</v>
      </c>
      <c r="H23" s="22"/>
      <c r="I23" s="34" t="s">
        <v>92</v>
      </c>
      <c r="J23" s="22"/>
      <c r="K23" s="34" t="s">
        <v>9</v>
      </c>
      <c r="L23" s="22"/>
      <c r="M23" s="34" t="s">
        <v>9</v>
      </c>
      <c r="N23" s="22"/>
    </row>
    <row r="24" spans="1:14" ht="14.1">
      <c r="A24" s="25" t="s">
        <v>54</v>
      </c>
      <c r="B24" s="22"/>
      <c r="C24" s="25" t="s">
        <v>54</v>
      </c>
      <c r="D24" s="22"/>
      <c r="E24" s="25" t="s">
        <v>54</v>
      </c>
      <c r="F24" s="22"/>
      <c r="G24" s="25" t="s">
        <v>54</v>
      </c>
      <c r="H24" s="22"/>
      <c r="I24" s="25" t="s">
        <v>54</v>
      </c>
      <c r="J24" s="22"/>
      <c r="K24" s="25" t="s">
        <v>54</v>
      </c>
      <c r="L24" s="22"/>
      <c r="M24" s="25" t="s">
        <v>54</v>
      </c>
      <c r="N24" s="22"/>
    </row>
    <row r="25" spans="1:14" ht="14.1">
      <c r="A25" s="23" t="s">
        <v>9</v>
      </c>
      <c r="B25" s="22"/>
      <c r="C25" s="33" t="s">
        <v>9</v>
      </c>
      <c r="D25" s="22"/>
      <c r="E25" s="23" t="s">
        <v>9</v>
      </c>
      <c r="F25" s="22"/>
      <c r="G25" s="33" t="s">
        <v>9</v>
      </c>
      <c r="H25" s="22"/>
      <c r="I25" s="33" t="s">
        <v>13</v>
      </c>
      <c r="J25" s="22"/>
      <c r="K25" s="33" t="s">
        <v>13</v>
      </c>
      <c r="L25" s="22"/>
      <c r="M25" s="33" t="s">
        <v>13</v>
      </c>
      <c r="N25" s="22"/>
    </row>
    <row r="26" spans="1:14" ht="14.1">
      <c r="A26" s="21" t="s">
        <v>24</v>
      </c>
      <c r="B26" s="22"/>
      <c r="C26" s="21" t="s">
        <v>24</v>
      </c>
      <c r="D26" s="22"/>
      <c r="E26" s="21" t="s">
        <v>24</v>
      </c>
      <c r="F26" s="22"/>
      <c r="G26" s="21" t="s">
        <v>24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17</v>
      </c>
      <c r="B28" s="22"/>
      <c r="C28" s="29" t="s">
        <v>17</v>
      </c>
      <c r="D28" s="22"/>
      <c r="E28" s="29" t="s">
        <v>319</v>
      </c>
      <c r="F28" s="22"/>
      <c r="G28" s="28" t="s">
        <v>17</v>
      </c>
      <c r="H28" s="22"/>
      <c r="I28" s="28" t="s">
        <v>17</v>
      </c>
      <c r="J28" s="22"/>
      <c r="K28" s="28" t="s">
        <v>17</v>
      </c>
      <c r="L28" s="22"/>
      <c r="M28" s="28" t="s">
        <v>17</v>
      </c>
      <c r="N28" s="22"/>
    </row>
    <row r="29" spans="1:14" ht="18" customHeight="1">
      <c r="A29" s="30" t="s">
        <v>320</v>
      </c>
      <c r="B29" s="22"/>
      <c r="C29" s="30" t="s">
        <v>320</v>
      </c>
      <c r="D29" s="22"/>
      <c r="E29" s="30" t="s">
        <v>30</v>
      </c>
      <c r="F29" s="22"/>
      <c r="G29" s="32" t="s">
        <v>320</v>
      </c>
      <c r="H29" s="31"/>
      <c r="I29" s="32" t="s">
        <v>321</v>
      </c>
      <c r="J29" s="31"/>
      <c r="K29" s="32" t="s">
        <v>74</v>
      </c>
      <c r="L29" s="31"/>
      <c r="M29" s="32" t="s">
        <v>74</v>
      </c>
      <c r="N29" s="31"/>
    </row>
    <row r="30" spans="1:14" ht="18" customHeight="1">
      <c r="A30" s="2">
        <f>M22+1</f>
        <v>44795</v>
      </c>
      <c r="B30" s="3"/>
      <c r="C30" s="2">
        <f>A30+1</f>
        <v>44796</v>
      </c>
      <c r="D30" s="3"/>
      <c r="E30" s="2">
        <f>C30+1</f>
        <v>44797</v>
      </c>
      <c r="F30" s="3"/>
      <c r="G30" s="2">
        <f>E30+1</f>
        <v>44798</v>
      </c>
      <c r="H30" s="3"/>
      <c r="I30" s="2">
        <f>G30+1</f>
        <v>44799</v>
      </c>
      <c r="J30" s="3"/>
      <c r="K30" s="4">
        <f>I30+1</f>
        <v>44800</v>
      </c>
      <c r="L30" s="5"/>
      <c r="M30" s="4">
        <f>K30+1</f>
        <v>44801</v>
      </c>
      <c r="N30" s="5"/>
    </row>
    <row r="31" spans="1:14" ht="14.1">
      <c r="A31" s="26" t="s">
        <v>92</v>
      </c>
      <c r="B31" s="22"/>
      <c r="C31" s="34" t="s">
        <v>9</v>
      </c>
      <c r="D31" s="22"/>
      <c r="E31" s="26" t="s">
        <v>53</v>
      </c>
      <c r="F31" s="22"/>
      <c r="G31" s="34" t="s">
        <v>9</v>
      </c>
      <c r="H31" s="22"/>
      <c r="I31" s="34" t="s">
        <v>105</v>
      </c>
      <c r="J31" s="22"/>
      <c r="K31" s="34" t="s">
        <v>24</v>
      </c>
      <c r="L31" s="22"/>
      <c r="M31" s="34" t="s">
        <v>24</v>
      </c>
      <c r="N31" s="22"/>
    </row>
    <row r="32" spans="1:14" ht="14.1">
      <c r="A32" s="25" t="s">
        <v>42</v>
      </c>
      <c r="B32" s="22"/>
      <c r="C32" s="25" t="s">
        <v>42</v>
      </c>
      <c r="D32" s="22"/>
      <c r="E32" s="25" t="s">
        <v>42</v>
      </c>
      <c r="F32" s="22"/>
      <c r="G32" s="25" t="s">
        <v>42</v>
      </c>
      <c r="H32" s="22"/>
      <c r="I32" s="25" t="s">
        <v>42</v>
      </c>
      <c r="J32" s="22"/>
      <c r="K32" s="25" t="s">
        <v>42</v>
      </c>
      <c r="L32" s="22"/>
      <c r="M32" s="25" t="s">
        <v>42</v>
      </c>
      <c r="N32" s="22"/>
    </row>
    <row r="33" spans="1:14" ht="14.1">
      <c r="A33" s="23" t="s">
        <v>11</v>
      </c>
      <c r="B33" s="22"/>
      <c r="C33" s="33" t="s">
        <v>11</v>
      </c>
      <c r="D33" s="22"/>
      <c r="E33" s="23" t="s">
        <v>10</v>
      </c>
      <c r="F33" s="22"/>
      <c r="G33" s="33" t="s">
        <v>11</v>
      </c>
      <c r="H33" s="22"/>
      <c r="I33" s="33" t="s">
        <v>82</v>
      </c>
      <c r="J33" s="22"/>
      <c r="K33" s="33" t="s">
        <v>322</v>
      </c>
      <c r="L33" s="22"/>
      <c r="M33" s="33" t="s">
        <v>322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26</v>
      </c>
      <c r="B36" s="22"/>
      <c r="C36" s="28" t="s">
        <v>318</v>
      </c>
      <c r="D36" s="22"/>
      <c r="E36" s="29" t="s">
        <v>323</v>
      </c>
      <c r="F36" s="22"/>
      <c r="G36" s="29" t="s">
        <v>324</v>
      </c>
      <c r="H36" s="22"/>
      <c r="I36" s="28" t="s">
        <v>26</v>
      </c>
      <c r="J36" s="22"/>
      <c r="K36" s="28" t="s">
        <v>26</v>
      </c>
      <c r="L36" s="22"/>
      <c r="M36" s="28" t="s">
        <v>26</v>
      </c>
      <c r="N36" s="22"/>
    </row>
    <row r="37" spans="1:14" ht="18" customHeight="1">
      <c r="A37" s="30" t="s">
        <v>321</v>
      </c>
      <c r="B37" s="22"/>
      <c r="C37" s="32" t="s">
        <v>50</v>
      </c>
      <c r="D37" s="31"/>
      <c r="E37" s="32" t="s">
        <v>50</v>
      </c>
      <c r="F37" s="31"/>
      <c r="G37" s="32" t="s">
        <v>50</v>
      </c>
      <c r="H37" s="31"/>
      <c r="I37" s="32" t="s">
        <v>320</v>
      </c>
      <c r="J37" s="31"/>
      <c r="K37" s="32" t="s">
        <v>41</v>
      </c>
      <c r="L37" s="31"/>
      <c r="M37" s="32" t="s">
        <v>41</v>
      </c>
      <c r="N37" s="31"/>
    </row>
    <row r="38" spans="1:14" ht="18" customHeight="1">
      <c r="A38" s="2">
        <f>IF(M30="","",IF(MONTH(M30+1)&lt;&gt;MONTH($A$1),"",M30+1))</f>
        <v>44802</v>
      </c>
      <c r="B38" s="3"/>
      <c r="C38" s="2">
        <f>IF(A38="","",IF(MONTH(A38+1)&lt;&gt;MONTH($A$1),"",A38+1))</f>
        <v>44803</v>
      </c>
      <c r="D38" s="3"/>
      <c r="E38" s="2">
        <f>IF(C38="","",IF(MONTH(C38+1)&lt;&gt;MONTH($A$1),"",C38+1))</f>
        <v>44804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135</v>
      </c>
      <c r="B39" s="22"/>
      <c r="C39" s="34" t="s">
        <v>24</v>
      </c>
      <c r="D39" s="22"/>
      <c r="E39" s="26" t="s">
        <v>85</v>
      </c>
      <c r="F39" s="22"/>
      <c r="G39" s="34" t="s">
        <v>24</v>
      </c>
      <c r="H39" s="22"/>
      <c r="I39" s="34" t="s">
        <v>39</v>
      </c>
      <c r="J39" s="22"/>
      <c r="K39" s="34" t="s">
        <v>11</v>
      </c>
      <c r="L39" s="22"/>
      <c r="M39" s="34" t="s">
        <v>11</v>
      </c>
      <c r="N39" s="22"/>
    </row>
    <row r="40" spans="1:14" ht="14.1">
      <c r="A40" s="25" t="s">
        <v>59</v>
      </c>
      <c r="B40" s="22"/>
      <c r="C40" s="25" t="s">
        <v>59</v>
      </c>
      <c r="D40" s="22"/>
      <c r="E40" s="25" t="s">
        <v>59</v>
      </c>
      <c r="F40" s="22"/>
      <c r="G40" s="25" t="s">
        <v>59</v>
      </c>
      <c r="H40" s="22"/>
      <c r="I40" s="25" t="s">
        <v>59</v>
      </c>
      <c r="J40" s="22"/>
      <c r="K40" s="25" t="s">
        <v>59</v>
      </c>
      <c r="L40" s="22"/>
      <c r="M40" s="25" t="s">
        <v>59</v>
      </c>
      <c r="N40" s="22"/>
    </row>
    <row r="41" spans="1:14" ht="14.1">
      <c r="A41" s="23" t="s">
        <v>53</v>
      </c>
      <c r="B41" s="22"/>
      <c r="C41" s="33" t="s">
        <v>9</v>
      </c>
      <c r="D41" s="22"/>
      <c r="E41" s="33" t="s">
        <v>9</v>
      </c>
      <c r="F41" s="22"/>
      <c r="G41" s="33" t="s">
        <v>9</v>
      </c>
      <c r="H41" s="22"/>
      <c r="I41" s="33" t="s">
        <v>9</v>
      </c>
      <c r="J41" s="22"/>
      <c r="K41" s="33" t="s">
        <v>62</v>
      </c>
      <c r="L41" s="22"/>
      <c r="M41" s="33" t="s">
        <v>62</v>
      </c>
      <c r="N41" s="22"/>
    </row>
    <row r="42" spans="1:14" ht="14.1">
      <c r="A42" s="21" t="s">
        <v>15</v>
      </c>
      <c r="B42" s="22"/>
      <c r="C42" s="21" t="s">
        <v>15</v>
      </c>
      <c r="D42" s="22"/>
      <c r="E42" s="21" t="s">
        <v>15</v>
      </c>
      <c r="F42" s="22"/>
      <c r="G42" s="21" t="s">
        <v>15</v>
      </c>
      <c r="H42" s="22"/>
      <c r="I42" s="21" t="s">
        <v>15</v>
      </c>
      <c r="J42" s="22"/>
      <c r="K42" s="21" t="s">
        <v>15</v>
      </c>
      <c r="L42" s="22"/>
      <c r="M42" s="21" t="s">
        <v>15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318</v>
      </c>
      <c r="B44" s="22"/>
      <c r="C44" s="29" t="s">
        <v>318</v>
      </c>
      <c r="D44" s="22"/>
      <c r="E44" s="29" t="s">
        <v>319</v>
      </c>
      <c r="F44" s="22"/>
      <c r="G44" s="28" t="s">
        <v>324</v>
      </c>
      <c r="H44" s="22"/>
      <c r="I44" s="28" t="s">
        <v>319</v>
      </c>
      <c r="J44" s="22"/>
      <c r="K44" s="28" t="s">
        <v>36</v>
      </c>
      <c r="L44" s="22"/>
      <c r="M44" s="28" t="s">
        <v>17</v>
      </c>
      <c r="N44" s="22"/>
    </row>
    <row r="45" spans="1:14" ht="18" customHeight="1">
      <c r="A45" s="30" t="s">
        <v>30</v>
      </c>
      <c r="B45" s="22"/>
      <c r="C45" s="32" t="s">
        <v>30</v>
      </c>
      <c r="D45" s="31"/>
      <c r="E45" s="30" t="s">
        <v>30</v>
      </c>
      <c r="F45" s="22"/>
      <c r="G45" s="32" t="s">
        <v>30</v>
      </c>
      <c r="H45" s="31"/>
      <c r="I45" s="32" t="s">
        <v>50</v>
      </c>
      <c r="J45" s="31"/>
      <c r="K45" s="32" t="s">
        <v>50</v>
      </c>
      <c r="L45" s="31"/>
      <c r="M45" s="32" t="s">
        <v>74</v>
      </c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 t="s">
        <v>39</v>
      </c>
      <c r="B47" s="22"/>
      <c r="C47" s="34"/>
      <c r="D47" s="22"/>
      <c r="E47" s="35" t="s">
        <v>325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 t="s">
        <v>25</v>
      </c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 t="s">
        <v>9</v>
      </c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 t="s">
        <v>24</v>
      </c>
      <c r="B50" s="22"/>
      <c r="C50" s="27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26</v>
      </c>
      <c r="B52" s="22"/>
      <c r="C52" s="28"/>
      <c r="D52" s="22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30" t="s">
        <v>321</v>
      </c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EDATE('©'!A17,2)</f>
        <v>44805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SEPTEMBER 2022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44809</v>
      </c>
      <c r="B5" s="51"/>
      <c r="C5" s="50">
        <f>C14</f>
        <v>44810</v>
      </c>
      <c r="D5" s="51"/>
      <c r="E5" s="50">
        <f>E14</f>
        <v>44811</v>
      </c>
      <c r="F5" s="51"/>
      <c r="G5" s="50">
        <f>G14</f>
        <v>44812</v>
      </c>
      <c r="H5" s="51"/>
      <c r="I5" s="50">
        <f>I14</f>
        <v>44813</v>
      </c>
      <c r="J5" s="51"/>
      <c r="K5" s="50">
        <f>K14</f>
        <v>44814</v>
      </c>
      <c r="L5" s="51"/>
      <c r="M5" s="50">
        <f>M14</f>
        <v>44815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44805</v>
      </c>
      <c r="H6" s="3"/>
      <c r="I6" s="2">
        <f>IF(G6="",IF(WEEKDAY($A$1,1)=MOD(startday,7)+4,$A$1,""),G6+1)</f>
        <v>44806</v>
      </c>
      <c r="J6" s="3"/>
      <c r="K6" s="4">
        <f>IF(I6="",IF(WEEKDAY($A$1,1)=MOD(startday,7)+5,$A$1,""),I6+1)</f>
        <v>44807</v>
      </c>
      <c r="L6" s="5"/>
      <c r="M6" s="4">
        <f>IF(K6="",IF(WEEKDAY($A$1,1)=MOD(startday+5,7)+1,$A$1,""),K6+1)</f>
        <v>44808</v>
      </c>
      <c r="N6" s="5"/>
    </row>
    <row r="7" spans="1:14" ht="14.1">
      <c r="A7" s="26"/>
      <c r="B7" s="22"/>
      <c r="C7" s="34" t="s">
        <v>11</v>
      </c>
      <c r="D7" s="22"/>
      <c r="E7" s="26" t="s">
        <v>10</v>
      </c>
      <c r="F7" s="22"/>
      <c r="G7" s="34" t="s">
        <v>11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25"/>
      <c r="B8" s="22"/>
      <c r="C8" s="24" t="s">
        <v>25</v>
      </c>
      <c r="D8" s="22"/>
      <c r="E8" s="24" t="s">
        <v>25</v>
      </c>
      <c r="F8" s="22"/>
      <c r="G8" s="24" t="s">
        <v>25</v>
      </c>
      <c r="H8" s="22"/>
      <c r="I8" s="24" t="s">
        <v>25</v>
      </c>
      <c r="J8" s="22"/>
      <c r="K8" s="24" t="s">
        <v>25</v>
      </c>
      <c r="L8" s="22"/>
      <c r="M8" s="24" t="s">
        <v>25</v>
      </c>
      <c r="N8" s="22"/>
    </row>
    <row r="9" spans="1:14" ht="14.1">
      <c r="A9" s="23"/>
      <c r="B9" s="22"/>
      <c r="C9" s="33" t="s">
        <v>9</v>
      </c>
      <c r="D9" s="22"/>
      <c r="E9" s="33" t="s">
        <v>9</v>
      </c>
      <c r="F9" s="22"/>
      <c r="G9" s="33" t="s">
        <v>9</v>
      </c>
      <c r="H9" s="22"/>
      <c r="I9" s="33" t="s">
        <v>11</v>
      </c>
      <c r="J9" s="22"/>
      <c r="K9" s="33" t="s">
        <v>11</v>
      </c>
      <c r="L9" s="22"/>
      <c r="M9" s="33" t="s">
        <v>11</v>
      </c>
      <c r="N9" s="22"/>
    </row>
    <row r="10" spans="1:14" ht="14.1">
      <c r="A10" s="21"/>
      <c r="B10" s="22"/>
      <c r="C10" s="27" t="s">
        <v>24</v>
      </c>
      <c r="D10" s="22"/>
      <c r="E10" s="27" t="s">
        <v>24</v>
      </c>
      <c r="F10" s="22"/>
      <c r="G10" s="27" t="s">
        <v>15</v>
      </c>
      <c r="H10" s="22"/>
      <c r="I10" s="27" t="s">
        <v>24</v>
      </c>
      <c r="J10" s="22"/>
      <c r="K10" s="27" t="s">
        <v>24</v>
      </c>
      <c r="L10" s="22"/>
      <c r="M10" s="27" t="s">
        <v>24</v>
      </c>
      <c r="N10" s="22"/>
    </row>
    <row r="11" spans="1:14" ht="14.1">
      <c r="A11" s="59"/>
      <c r="B11" s="22"/>
      <c r="C11" s="60" t="s">
        <v>13</v>
      </c>
      <c r="D11" s="22"/>
      <c r="E11" s="60" t="s">
        <v>13</v>
      </c>
      <c r="F11" s="22"/>
      <c r="G11" s="60" t="s">
        <v>13</v>
      </c>
      <c r="H11" s="22"/>
      <c r="I11" s="60" t="s">
        <v>13</v>
      </c>
      <c r="J11" s="22"/>
      <c r="K11" s="60" t="s">
        <v>13</v>
      </c>
      <c r="L11" s="22"/>
      <c r="M11" s="60" t="s">
        <v>13</v>
      </c>
      <c r="N11" s="22"/>
    </row>
    <row r="12" spans="1:14" ht="14.1">
      <c r="A12" s="29"/>
      <c r="B12" s="22"/>
      <c r="C12" s="28" t="s">
        <v>318</v>
      </c>
      <c r="D12" s="22"/>
      <c r="E12" s="29" t="s">
        <v>319</v>
      </c>
      <c r="F12" s="22"/>
      <c r="G12" s="28" t="s">
        <v>318</v>
      </c>
      <c r="H12" s="22"/>
      <c r="I12" s="28" t="s">
        <v>318</v>
      </c>
      <c r="J12" s="22"/>
      <c r="K12" s="28" t="s">
        <v>19</v>
      </c>
      <c r="L12" s="22"/>
      <c r="M12" s="28" t="s">
        <v>19</v>
      </c>
      <c r="N12" s="22"/>
    </row>
    <row r="13" spans="1:14" ht="18" customHeight="1">
      <c r="A13" s="30"/>
      <c r="B13" s="22"/>
      <c r="C13" s="32" t="s">
        <v>50</v>
      </c>
      <c r="D13" s="31"/>
      <c r="E13" s="30" t="s">
        <v>50</v>
      </c>
      <c r="F13" s="22"/>
      <c r="G13" s="32" t="s">
        <v>30</v>
      </c>
      <c r="H13" s="31"/>
      <c r="I13" s="32" t="s">
        <v>30</v>
      </c>
      <c r="J13" s="31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44809</v>
      </c>
      <c r="B14" s="3"/>
      <c r="C14" s="2">
        <f>A14+1</f>
        <v>44810</v>
      </c>
      <c r="D14" s="3"/>
      <c r="E14" s="2">
        <f>C14+1</f>
        <v>44811</v>
      </c>
      <c r="F14" s="3"/>
      <c r="G14" s="2">
        <f>E14+1</f>
        <v>44812</v>
      </c>
      <c r="H14" s="3"/>
      <c r="I14" s="2">
        <f>G14+1</f>
        <v>44813</v>
      </c>
      <c r="J14" s="3"/>
      <c r="K14" s="4">
        <f>I14+1</f>
        <v>44814</v>
      </c>
      <c r="L14" s="5"/>
      <c r="M14" s="4">
        <f>K14+1</f>
        <v>44815</v>
      </c>
      <c r="N14" s="5"/>
    </row>
    <row r="15" spans="1:14" ht="14.1">
      <c r="A15" s="26" t="s">
        <v>93</v>
      </c>
      <c r="B15" s="22"/>
      <c r="C15" s="34" t="s">
        <v>50</v>
      </c>
      <c r="D15" s="22"/>
      <c r="E15" s="26" t="s">
        <v>50</v>
      </c>
      <c r="F15" s="22"/>
      <c r="G15" s="34" t="s">
        <v>50</v>
      </c>
      <c r="H15" s="22"/>
      <c r="I15" s="34" t="s">
        <v>10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25" t="s">
        <v>16</v>
      </c>
      <c r="B16" s="22"/>
      <c r="C16" s="25" t="s">
        <v>16</v>
      </c>
      <c r="D16" s="22"/>
      <c r="E16" s="25" t="s">
        <v>16</v>
      </c>
      <c r="F16" s="22"/>
      <c r="G16" s="25" t="s">
        <v>16</v>
      </c>
      <c r="H16" s="22"/>
      <c r="I16" s="25" t="s">
        <v>16</v>
      </c>
      <c r="J16" s="22"/>
      <c r="K16" s="25" t="s">
        <v>16</v>
      </c>
      <c r="L16" s="22"/>
      <c r="M16" s="25" t="s">
        <v>16</v>
      </c>
      <c r="N16" s="22"/>
    </row>
    <row r="17" spans="1:14" ht="14.1">
      <c r="A17" s="23" t="s">
        <v>11</v>
      </c>
      <c r="B17" s="22"/>
      <c r="C17" s="33" t="s">
        <v>11</v>
      </c>
      <c r="D17" s="22"/>
      <c r="E17" s="23" t="s">
        <v>31</v>
      </c>
      <c r="F17" s="22"/>
      <c r="G17" s="33" t="s">
        <v>31</v>
      </c>
      <c r="H17" s="22"/>
      <c r="I17" s="33" t="s">
        <v>88</v>
      </c>
      <c r="J17" s="22"/>
      <c r="K17" s="33" t="s">
        <v>82</v>
      </c>
      <c r="L17" s="22"/>
      <c r="M17" s="33" t="s">
        <v>82</v>
      </c>
      <c r="N17" s="22"/>
    </row>
    <row r="18" spans="1:14" ht="14.1">
      <c r="A18" s="21" t="s">
        <v>15</v>
      </c>
      <c r="B18" s="22"/>
      <c r="C18" s="21" t="s">
        <v>15</v>
      </c>
      <c r="D18" s="22"/>
      <c r="E18" s="21" t="s">
        <v>15</v>
      </c>
      <c r="F18" s="22"/>
      <c r="G18" s="21" t="s">
        <v>24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26</v>
      </c>
      <c r="B20" s="22"/>
      <c r="C20" s="28" t="s">
        <v>26</v>
      </c>
      <c r="D20" s="22"/>
      <c r="E20" s="29" t="s">
        <v>319</v>
      </c>
      <c r="F20" s="22"/>
      <c r="G20" s="28" t="s">
        <v>326</v>
      </c>
      <c r="H20" s="22"/>
      <c r="I20" s="28" t="s">
        <v>17</v>
      </c>
      <c r="J20" s="22"/>
      <c r="K20" s="28" t="s">
        <v>17</v>
      </c>
      <c r="L20" s="22"/>
      <c r="M20" s="28" t="s">
        <v>17</v>
      </c>
      <c r="N20" s="22"/>
    </row>
    <row r="21" spans="1:14" ht="18" customHeight="1">
      <c r="A21" s="30" t="s">
        <v>320</v>
      </c>
      <c r="B21" s="22"/>
      <c r="C21" s="30" t="s">
        <v>320</v>
      </c>
      <c r="D21" s="22"/>
      <c r="E21" s="30" t="s">
        <v>30</v>
      </c>
      <c r="F21" s="22"/>
      <c r="G21" s="30" t="s">
        <v>30</v>
      </c>
      <c r="H21" s="22"/>
      <c r="I21" s="30" t="s">
        <v>320</v>
      </c>
      <c r="J21" s="22"/>
      <c r="K21" s="30" t="s">
        <v>41</v>
      </c>
      <c r="L21" s="22"/>
      <c r="M21" s="30" t="s">
        <v>41</v>
      </c>
      <c r="N21" s="22"/>
    </row>
    <row r="22" spans="1:14" ht="18" customHeight="1">
      <c r="A22" s="2">
        <f>M14+1</f>
        <v>44816</v>
      </c>
      <c r="B22" s="3"/>
      <c r="C22" s="2">
        <f>A22+1</f>
        <v>44817</v>
      </c>
      <c r="D22" s="3"/>
      <c r="E22" s="2">
        <f>C22+1</f>
        <v>44818</v>
      </c>
      <c r="F22" s="3"/>
      <c r="G22" s="2">
        <f>E22+1</f>
        <v>44819</v>
      </c>
      <c r="H22" s="3"/>
      <c r="I22" s="2">
        <f>G22+1</f>
        <v>44820</v>
      </c>
      <c r="J22" s="3"/>
      <c r="K22" s="4">
        <f>I22+1</f>
        <v>44821</v>
      </c>
      <c r="L22" s="5"/>
      <c r="M22" s="4">
        <f>K22+1</f>
        <v>44822</v>
      </c>
      <c r="N22" s="5"/>
    </row>
    <row r="23" spans="1:14" ht="14.1">
      <c r="A23" s="26" t="s">
        <v>10</v>
      </c>
      <c r="B23" s="22"/>
      <c r="C23" s="34" t="s">
        <v>11</v>
      </c>
      <c r="D23" s="22"/>
      <c r="E23" s="26" t="s">
        <v>83</v>
      </c>
      <c r="F23" s="22"/>
      <c r="G23" s="34" t="s">
        <v>11</v>
      </c>
      <c r="H23" s="22"/>
      <c r="I23" s="34" t="s">
        <v>105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25" t="s">
        <v>54</v>
      </c>
      <c r="B24" s="22"/>
      <c r="C24" s="25" t="s">
        <v>54</v>
      </c>
      <c r="D24" s="22"/>
      <c r="E24" s="25" t="s">
        <v>54</v>
      </c>
      <c r="F24" s="22"/>
      <c r="G24" s="25" t="s">
        <v>54</v>
      </c>
      <c r="H24" s="22"/>
      <c r="I24" s="25" t="s">
        <v>54</v>
      </c>
      <c r="J24" s="22"/>
      <c r="K24" s="25" t="s">
        <v>54</v>
      </c>
      <c r="L24" s="22"/>
      <c r="M24" s="25" t="s">
        <v>54</v>
      </c>
      <c r="N24" s="22"/>
    </row>
    <row r="25" spans="1:14" ht="14.1">
      <c r="A25" s="23" t="s">
        <v>53</v>
      </c>
      <c r="B25" s="22"/>
      <c r="C25" s="33" t="s">
        <v>9</v>
      </c>
      <c r="D25" s="22"/>
      <c r="E25" s="23" t="s">
        <v>9</v>
      </c>
      <c r="F25" s="22"/>
      <c r="G25" s="33" t="s">
        <v>9</v>
      </c>
      <c r="H25" s="22"/>
      <c r="I25" s="33" t="s">
        <v>11</v>
      </c>
      <c r="J25" s="22"/>
      <c r="K25" s="33" t="s">
        <v>327</v>
      </c>
      <c r="L25" s="22"/>
      <c r="M25" s="33" t="s">
        <v>297</v>
      </c>
      <c r="N25" s="22"/>
    </row>
    <row r="26" spans="1:14" ht="14.1">
      <c r="A26" s="21" t="s">
        <v>24</v>
      </c>
      <c r="B26" s="22"/>
      <c r="C26" s="21" t="s">
        <v>24</v>
      </c>
      <c r="D26" s="22"/>
      <c r="E26" s="21" t="s">
        <v>24</v>
      </c>
      <c r="F26" s="22"/>
      <c r="G26" s="21" t="s">
        <v>24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318</v>
      </c>
      <c r="B28" s="22"/>
      <c r="C28" s="28" t="s">
        <v>318</v>
      </c>
      <c r="D28" s="22"/>
      <c r="E28" s="29" t="s">
        <v>319</v>
      </c>
      <c r="F28" s="22"/>
      <c r="G28" s="28" t="s">
        <v>26</v>
      </c>
      <c r="H28" s="22"/>
      <c r="I28" s="28" t="s">
        <v>26</v>
      </c>
      <c r="J28" s="22"/>
      <c r="K28" s="28" t="s">
        <v>26</v>
      </c>
      <c r="L28" s="22"/>
      <c r="M28" s="28" t="s">
        <v>26</v>
      </c>
      <c r="N28" s="22"/>
    </row>
    <row r="29" spans="1:14" ht="18" customHeight="1">
      <c r="A29" s="30" t="s">
        <v>50</v>
      </c>
      <c r="B29" s="22"/>
      <c r="C29" s="30" t="s">
        <v>50</v>
      </c>
      <c r="D29" s="22"/>
      <c r="E29" s="30" t="s">
        <v>50</v>
      </c>
      <c r="F29" s="22"/>
      <c r="G29" s="32" t="s">
        <v>328</v>
      </c>
      <c r="H29" s="31"/>
      <c r="I29" s="32" t="s">
        <v>321</v>
      </c>
      <c r="J29" s="31"/>
      <c r="K29" s="32" t="s">
        <v>74</v>
      </c>
      <c r="L29" s="31"/>
      <c r="M29" s="32" t="s">
        <v>74</v>
      </c>
      <c r="N29" s="31"/>
    </row>
    <row r="30" spans="1:14" ht="18" customHeight="1">
      <c r="A30" s="2">
        <f>M22+1</f>
        <v>44823</v>
      </c>
      <c r="B30" s="3"/>
      <c r="C30" s="2">
        <f>A30+1</f>
        <v>44824</v>
      </c>
      <c r="D30" s="3"/>
      <c r="E30" s="2">
        <f>C30+1</f>
        <v>44825</v>
      </c>
      <c r="F30" s="3"/>
      <c r="G30" s="2">
        <f>E30+1</f>
        <v>44826</v>
      </c>
      <c r="H30" s="3"/>
      <c r="I30" s="2">
        <f>G30+1</f>
        <v>44827</v>
      </c>
      <c r="J30" s="3"/>
      <c r="K30" s="4">
        <f>I30+1</f>
        <v>44828</v>
      </c>
      <c r="L30" s="5"/>
      <c r="M30" s="4">
        <f>K30+1</f>
        <v>44829</v>
      </c>
      <c r="N30" s="5"/>
    </row>
    <row r="31" spans="1:14" ht="14.1">
      <c r="A31" s="26" t="s">
        <v>85</v>
      </c>
      <c r="B31" s="22"/>
      <c r="C31" s="34" t="s">
        <v>24</v>
      </c>
      <c r="D31" s="22"/>
      <c r="E31" s="26" t="s">
        <v>135</v>
      </c>
      <c r="F31" s="22"/>
      <c r="G31" s="34" t="s">
        <v>24</v>
      </c>
      <c r="H31" s="22"/>
      <c r="I31" s="34" t="s">
        <v>92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25" t="s">
        <v>51</v>
      </c>
      <c r="B32" s="22"/>
      <c r="C32" s="25" t="s">
        <v>51</v>
      </c>
      <c r="D32" s="22"/>
      <c r="E32" s="25" t="s">
        <v>51</v>
      </c>
      <c r="F32" s="22"/>
      <c r="G32" s="25" t="s">
        <v>51</v>
      </c>
      <c r="H32" s="22"/>
      <c r="I32" s="25" t="s">
        <v>51</v>
      </c>
      <c r="J32" s="22"/>
      <c r="K32" s="25" t="s">
        <v>51</v>
      </c>
      <c r="L32" s="22"/>
      <c r="M32" s="25" t="s">
        <v>51</v>
      </c>
      <c r="N32" s="22"/>
    </row>
    <row r="33" spans="1:14" ht="14.1">
      <c r="A33" s="23" t="s">
        <v>9</v>
      </c>
      <c r="B33" s="22"/>
      <c r="C33" s="33" t="s">
        <v>31</v>
      </c>
      <c r="D33" s="22"/>
      <c r="E33" s="23" t="s">
        <v>53</v>
      </c>
      <c r="F33" s="22"/>
      <c r="G33" s="33" t="s">
        <v>9</v>
      </c>
      <c r="H33" s="22"/>
      <c r="I33" s="33" t="s">
        <v>13</v>
      </c>
      <c r="J33" s="22"/>
      <c r="K33" s="33" t="s">
        <v>55</v>
      </c>
      <c r="L33" s="22"/>
      <c r="M33" s="33" t="s">
        <v>55</v>
      </c>
      <c r="N33" s="22"/>
    </row>
    <row r="34" spans="1:14" ht="14.1">
      <c r="A34" s="21" t="s">
        <v>15</v>
      </c>
      <c r="B34" s="22"/>
      <c r="C34" s="21" t="s">
        <v>15</v>
      </c>
      <c r="D34" s="22"/>
      <c r="E34" s="21" t="s">
        <v>15</v>
      </c>
      <c r="F34" s="22"/>
      <c r="G34" s="21" t="s">
        <v>15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43</v>
      </c>
      <c r="L35" s="22"/>
      <c r="M35" s="59" t="s">
        <v>43</v>
      </c>
      <c r="N35" s="22"/>
    </row>
    <row r="36" spans="1:14" ht="14.1">
      <c r="A36" s="29" t="s">
        <v>17</v>
      </c>
      <c r="B36" s="22"/>
      <c r="C36" s="29" t="s">
        <v>329</v>
      </c>
      <c r="D36" s="22"/>
      <c r="E36" s="29" t="s">
        <v>319</v>
      </c>
      <c r="F36" s="22"/>
      <c r="G36" s="29" t="s">
        <v>17</v>
      </c>
      <c r="H36" s="22"/>
      <c r="I36" s="29" t="s">
        <v>319</v>
      </c>
      <c r="J36" s="22"/>
      <c r="K36" s="29" t="s">
        <v>36</v>
      </c>
      <c r="L36" s="22"/>
      <c r="M36" s="29" t="s">
        <v>36</v>
      </c>
      <c r="N36" s="22"/>
    </row>
    <row r="37" spans="1:14" ht="18" customHeight="1">
      <c r="A37" s="30" t="s">
        <v>321</v>
      </c>
      <c r="B37" s="22"/>
      <c r="C37" s="32" t="s">
        <v>50</v>
      </c>
      <c r="D37" s="31"/>
      <c r="E37" s="32" t="s">
        <v>50</v>
      </c>
      <c r="F37" s="31"/>
      <c r="G37" s="32" t="s">
        <v>321</v>
      </c>
      <c r="H37" s="31"/>
      <c r="I37" s="32" t="s">
        <v>50</v>
      </c>
      <c r="J37" s="31"/>
      <c r="K37" s="32" t="s">
        <v>50</v>
      </c>
      <c r="L37" s="31"/>
      <c r="M37" s="32" t="s">
        <v>50</v>
      </c>
      <c r="N37" s="31"/>
    </row>
    <row r="38" spans="1:14" ht="18" customHeight="1">
      <c r="A38" s="2">
        <f>IF(M30="","",IF(MONTH(M30+1)&lt;&gt;MONTH($A$1),"",M30+1))</f>
        <v>44830</v>
      </c>
      <c r="B38" s="3"/>
      <c r="C38" s="2">
        <f>IF(A38="","",IF(MONTH(A38+1)&lt;&gt;MONTH($A$1),"",A38+1))</f>
        <v>44831</v>
      </c>
      <c r="D38" s="3"/>
      <c r="E38" s="2">
        <f>IF(C38="","",IF(MONTH(C38+1)&lt;&gt;MONTH($A$1),"",C38+1))</f>
        <v>44832</v>
      </c>
      <c r="F38" s="3"/>
      <c r="G38" s="2">
        <f>IF(E38="","",IF(MONTH(E38+1)&lt;&gt;MONTH($A$1),"",E38+1))</f>
        <v>44833</v>
      </c>
      <c r="H38" s="3"/>
      <c r="I38" s="2">
        <f>IF(G38="","",IF(MONTH(G38+1)&lt;&gt;MONTH($A$1),"",G38+1))</f>
        <v>44834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92</v>
      </c>
      <c r="B39" s="22"/>
      <c r="C39" s="34" t="s">
        <v>9</v>
      </c>
      <c r="D39" s="22"/>
      <c r="E39" s="26" t="s">
        <v>53</v>
      </c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25" t="s">
        <v>38</v>
      </c>
      <c r="B40" s="22"/>
      <c r="C40" s="25" t="s">
        <v>38</v>
      </c>
      <c r="D40" s="22"/>
      <c r="E40" s="25" t="s">
        <v>38</v>
      </c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13</v>
      </c>
      <c r="B41" s="22"/>
      <c r="C41" s="33" t="s">
        <v>13</v>
      </c>
      <c r="D41" s="22"/>
      <c r="E41" s="23" t="s">
        <v>112</v>
      </c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4.1">
      <c r="A42" s="21" t="s">
        <v>24</v>
      </c>
      <c r="B42" s="22"/>
      <c r="C42" s="21" t="s">
        <v>24</v>
      </c>
      <c r="D42" s="22"/>
      <c r="E42" s="21" t="s">
        <v>24</v>
      </c>
      <c r="F42" s="22"/>
      <c r="G42" s="27"/>
      <c r="H42" s="22"/>
      <c r="I42" s="27"/>
      <c r="J42" s="22"/>
      <c r="K42" s="27"/>
      <c r="L42" s="22"/>
      <c r="M42" s="27"/>
      <c r="N42" s="22"/>
    </row>
    <row r="43" spans="1:14" ht="14.1">
      <c r="A43" s="59" t="s">
        <v>43</v>
      </c>
      <c r="B43" s="22"/>
      <c r="C43" s="60" t="s">
        <v>43</v>
      </c>
      <c r="D43" s="22"/>
      <c r="E43" s="59" t="s">
        <v>43</v>
      </c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17</v>
      </c>
      <c r="B44" s="22"/>
      <c r="C44" s="28" t="s">
        <v>17</v>
      </c>
      <c r="D44" s="22"/>
      <c r="E44" s="29" t="s">
        <v>319</v>
      </c>
      <c r="F44" s="22"/>
      <c r="G44" s="28"/>
      <c r="H44" s="22"/>
      <c r="I44" s="28"/>
      <c r="J44" s="22"/>
      <c r="K44" s="28"/>
      <c r="L44" s="22"/>
      <c r="M44" s="28"/>
      <c r="N44" s="22"/>
    </row>
    <row r="45" spans="1:14" ht="18" customHeight="1">
      <c r="A45" s="30" t="s">
        <v>320</v>
      </c>
      <c r="B45" s="22"/>
      <c r="C45" s="32" t="s">
        <v>320</v>
      </c>
      <c r="D45" s="31"/>
      <c r="E45" s="30" t="s">
        <v>30</v>
      </c>
      <c r="F45" s="22"/>
      <c r="G45" s="32"/>
      <c r="H45" s="31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330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EDATE('©'!A17,3)</f>
        <v>44835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OCTOBER 2022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44837</v>
      </c>
      <c r="B5" s="51"/>
      <c r="C5" s="50">
        <f>C14</f>
        <v>44838</v>
      </c>
      <c r="D5" s="51"/>
      <c r="E5" s="50">
        <f>E14</f>
        <v>44839</v>
      </c>
      <c r="F5" s="51"/>
      <c r="G5" s="50">
        <f>G14</f>
        <v>44840</v>
      </c>
      <c r="H5" s="51"/>
      <c r="I5" s="50">
        <f>I14</f>
        <v>44841</v>
      </c>
      <c r="J5" s="51"/>
      <c r="K5" s="50">
        <f>K14</f>
        <v>44842</v>
      </c>
      <c r="L5" s="51"/>
      <c r="M5" s="50">
        <f>M14</f>
        <v>44843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331</v>
      </c>
      <c r="K6" s="4">
        <f>IF(I6="",IF(WEEKDAY($A$1,1)=MOD(startday,7)+5,$A$1,""),I6+1)</f>
        <v>44835</v>
      </c>
      <c r="L6" s="5"/>
      <c r="M6" s="4">
        <f>IF(K6="",IF(WEEKDAY($A$1,1)=MOD(startday+5,7)+1,$A$1,""),K6+1)</f>
        <v>44836</v>
      </c>
      <c r="N6" s="5"/>
    </row>
    <row r="7" spans="1:14" ht="14.1">
      <c r="A7" s="26"/>
      <c r="B7" s="22"/>
      <c r="C7" s="34"/>
      <c r="D7" s="22"/>
      <c r="E7" s="26"/>
      <c r="F7" s="22"/>
      <c r="G7" s="34" t="s">
        <v>9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25"/>
      <c r="B8" s="22"/>
      <c r="C8" s="24"/>
      <c r="D8" s="22"/>
      <c r="E8" s="25"/>
      <c r="F8" s="22"/>
      <c r="G8" s="24" t="s">
        <v>38</v>
      </c>
      <c r="H8" s="22"/>
      <c r="I8" s="24" t="s">
        <v>38</v>
      </c>
      <c r="J8" s="22"/>
      <c r="K8" s="24" t="s">
        <v>38</v>
      </c>
      <c r="L8" s="22"/>
      <c r="M8" s="24" t="s">
        <v>38</v>
      </c>
      <c r="N8" s="22"/>
    </row>
    <row r="9" spans="1:14" ht="14.1">
      <c r="A9" s="23"/>
      <c r="B9" s="22"/>
      <c r="C9" s="33"/>
      <c r="D9" s="22"/>
      <c r="E9" s="23"/>
      <c r="F9" s="22"/>
      <c r="G9" s="33" t="s">
        <v>13</v>
      </c>
      <c r="H9" s="22"/>
      <c r="I9" s="33" t="s">
        <v>332</v>
      </c>
      <c r="J9" s="22"/>
      <c r="K9" s="33" t="s">
        <v>10</v>
      </c>
      <c r="L9" s="22"/>
      <c r="M9" s="33" t="s">
        <v>10</v>
      </c>
      <c r="N9" s="22"/>
    </row>
    <row r="10" spans="1:14" ht="14.1">
      <c r="A10" s="21"/>
      <c r="B10" s="22"/>
      <c r="C10" s="27"/>
      <c r="D10" s="22"/>
      <c r="E10" s="21"/>
      <c r="F10" s="22"/>
      <c r="G10" s="27" t="s">
        <v>24</v>
      </c>
      <c r="H10" s="22"/>
      <c r="I10" s="27" t="s">
        <v>24</v>
      </c>
      <c r="J10" s="22"/>
      <c r="K10" s="27" t="s">
        <v>24</v>
      </c>
      <c r="L10" s="22"/>
      <c r="M10" s="27" t="s">
        <v>24</v>
      </c>
      <c r="N10" s="22"/>
    </row>
    <row r="11" spans="1:14" ht="14.1">
      <c r="A11" s="59"/>
      <c r="B11" s="22"/>
      <c r="C11" s="60"/>
      <c r="D11" s="22"/>
      <c r="E11" s="59"/>
      <c r="F11" s="22"/>
      <c r="G11" s="60" t="s">
        <v>43</v>
      </c>
      <c r="H11" s="22"/>
      <c r="I11" s="60" t="s">
        <v>43</v>
      </c>
      <c r="J11" s="22"/>
      <c r="K11" s="60" t="s">
        <v>43</v>
      </c>
      <c r="L11" s="22"/>
      <c r="M11" s="60" t="s">
        <v>43</v>
      </c>
      <c r="N11" s="22"/>
    </row>
    <row r="12" spans="1:14" ht="14.1">
      <c r="A12" s="29"/>
      <c r="B12" s="22"/>
      <c r="C12" s="28"/>
      <c r="D12" s="22"/>
      <c r="E12" s="29"/>
      <c r="F12" s="22"/>
      <c r="G12" s="28" t="s">
        <v>27</v>
      </c>
      <c r="H12" s="22"/>
      <c r="I12" s="28" t="s">
        <v>27</v>
      </c>
      <c r="J12" s="22"/>
      <c r="K12" s="28" t="s">
        <v>137</v>
      </c>
      <c r="L12" s="22"/>
      <c r="M12" s="28" t="s">
        <v>137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 t="s">
        <v>30</v>
      </c>
      <c r="H13" s="31"/>
      <c r="I13" s="32" t="s">
        <v>30</v>
      </c>
      <c r="J13" s="31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44837</v>
      </c>
      <c r="B14" s="3"/>
      <c r="C14" s="2">
        <f>A14+1</f>
        <v>44838</v>
      </c>
      <c r="D14" s="3"/>
      <c r="E14" s="2">
        <f>C14+1</f>
        <v>44839</v>
      </c>
      <c r="F14" s="3"/>
      <c r="G14" s="2">
        <f>E14+1</f>
        <v>44840</v>
      </c>
      <c r="H14" s="3"/>
      <c r="I14" s="2">
        <f>G14+1</f>
        <v>44841</v>
      </c>
      <c r="J14" s="3"/>
      <c r="K14" s="4">
        <f>I14+1</f>
        <v>44842</v>
      </c>
      <c r="L14" s="5"/>
      <c r="M14" s="4">
        <f>K14+1</f>
        <v>44843</v>
      </c>
      <c r="N14" s="5"/>
    </row>
    <row r="15" spans="1:14" ht="14.1">
      <c r="A15" s="26" t="s">
        <v>52</v>
      </c>
      <c r="B15" s="22"/>
      <c r="C15" s="26" t="s">
        <v>50</v>
      </c>
      <c r="D15" s="22"/>
      <c r="E15" s="26" t="s">
        <v>50</v>
      </c>
      <c r="F15" s="22"/>
      <c r="G15" s="26" t="s">
        <v>50</v>
      </c>
      <c r="H15" s="22"/>
      <c r="I15" s="34" t="s">
        <v>10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25" t="s">
        <v>59</v>
      </c>
      <c r="B16" s="22"/>
      <c r="C16" s="25" t="s">
        <v>59</v>
      </c>
      <c r="D16" s="22"/>
      <c r="E16" s="25" t="s">
        <v>59</v>
      </c>
      <c r="F16" s="22"/>
      <c r="G16" s="25" t="s">
        <v>59</v>
      </c>
      <c r="H16" s="22"/>
      <c r="I16" s="25" t="s">
        <v>59</v>
      </c>
      <c r="J16" s="22"/>
      <c r="K16" s="25" t="s">
        <v>59</v>
      </c>
      <c r="L16" s="22"/>
      <c r="M16" s="25" t="s">
        <v>59</v>
      </c>
      <c r="N16" s="22"/>
    </row>
    <row r="17" spans="1:14" ht="14.1">
      <c r="A17" s="23" t="s">
        <v>9</v>
      </c>
      <c r="B17" s="22"/>
      <c r="C17" s="33" t="s">
        <v>9</v>
      </c>
      <c r="D17" s="22"/>
      <c r="E17" s="23" t="s">
        <v>9</v>
      </c>
      <c r="F17" s="22"/>
      <c r="G17" s="33" t="s">
        <v>11</v>
      </c>
      <c r="H17" s="22"/>
      <c r="I17" s="33" t="s">
        <v>112</v>
      </c>
      <c r="J17" s="22"/>
      <c r="K17" s="33" t="s">
        <v>14</v>
      </c>
      <c r="L17" s="22"/>
      <c r="M17" s="33" t="s">
        <v>14</v>
      </c>
      <c r="N17" s="22"/>
    </row>
    <row r="18" spans="1:14" ht="14.1">
      <c r="A18" s="21" t="s">
        <v>15</v>
      </c>
      <c r="B18" s="22"/>
      <c r="C18" s="21" t="s">
        <v>15</v>
      </c>
      <c r="D18" s="22"/>
      <c r="E18" s="21" t="s">
        <v>15</v>
      </c>
      <c r="F18" s="22"/>
      <c r="G18" s="21" t="s">
        <v>15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26</v>
      </c>
      <c r="B20" s="22"/>
      <c r="C20" s="28" t="s">
        <v>26</v>
      </c>
      <c r="D20" s="22"/>
      <c r="E20" s="29" t="s">
        <v>28</v>
      </c>
      <c r="F20" s="22"/>
      <c r="G20" s="28" t="s">
        <v>17</v>
      </c>
      <c r="H20" s="22"/>
      <c r="I20" s="28" t="s">
        <v>17</v>
      </c>
      <c r="J20" s="22"/>
      <c r="K20" s="28" t="s">
        <v>17</v>
      </c>
      <c r="L20" s="22"/>
      <c r="M20" s="28" t="s">
        <v>17</v>
      </c>
      <c r="N20" s="22"/>
    </row>
    <row r="21" spans="1:14" ht="18" customHeight="1">
      <c r="A21" s="30" t="s">
        <v>29</v>
      </c>
      <c r="B21" s="22"/>
      <c r="C21" s="30" t="s">
        <v>29</v>
      </c>
      <c r="D21" s="22"/>
      <c r="E21" s="30" t="s">
        <v>30</v>
      </c>
      <c r="F21" s="22"/>
      <c r="G21" s="30" t="s">
        <v>29</v>
      </c>
      <c r="H21" s="22"/>
      <c r="I21" s="30" t="s">
        <v>29</v>
      </c>
      <c r="J21" s="22"/>
      <c r="K21" s="30" t="s">
        <v>146</v>
      </c>
      <c r="L21" s="22"/>
      <c r="M21" s="30" t="s">
        <v>146</v>
      </c>
      <c r="N21" s="22"/>
    </row>
    <row r="22" spans="1:14" ht="18" customHeight="1">
      <c r="A22" s="2">
        <f>M14+1</f>
        <v>44844</v>
      </c>
      <c r="B22" s="3"/>
      <c r="C22" s="2">
        <f>A22+1</f>
        <v>44845</v>
      </c>
      <c r="D22" s="3"/>
      <c r="E22" s="2">
        <f>C22+1</f>
        <v>44846</v>
      </c>
      <c r="F22" s="3"/>
      <c r="G22" s="2">
        <f>E22+1</f>
        <v>44847</v>
      </c>
      <c r="H22" s="3"/>
      <c r="I22" s="2">
        <f>G22+1</f>
        <v>44848</v>
      </c>
      <c r="J22" s="3"/>
      <c r="K22" s="4">
        <f>I22+1</f>
        <v>44849</v>
      </c>
      <c r="L22" s="5"/>
      <c r="M22" s="4">
        <f>K22+1</f>
        <v>44850</v>
      </c>
      <c r="N22" s="5"/>
    </row>
    <row r="23" spans="1:14" ht="14.1">
      <c r="A23" s="26" t="s">
        <v>83</v>
      </c>
      <c r="B23" s="22"/>
      <c r="C23" s="26" t="s">
        <v>11</v>
      </c>
      <c r="D23" s="22"/>
      <c r="E23" s="26" t="s">
        <v>10</v>
      </c>
      <c r="F23" s="22"/>
      <c r="G23" s="26" t="s">
        <v>11</v>
      </c>
      <c r="H23" s="22"/>
      <c r="I23" s="34" t="s">
        <v>105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25" t="s">
        <v>42</v>
      </c>
      <c r="B24" s="22"/>
      <c r="C24" s="25" t="s">
        <v>42</v>
      </c>
      <c r="D24" s="22"/>
      <c r="E24" s="25" t="s">
        <v>42</v>
      </c>
      <c r="F24" s="22"/>
      <c r="G24" s="25" t="s">
        <v>42</v>
      </c>
      <c r="H24" s="22"/>
      <c r="I24" s="25" t="s">
        <v>42</v>
      </c>
      <c r="J24" s="22"/>
      <c r="K24" s="25" t="s">
        <v>42</v>
      </c>
      <c r="L24" s="22"/>
      <c r="M24" s="25" t="s">
        <v>42</v>
      </c>
      <c r="N24" s="22"/>
    </row>
    <row r="25" spans="1:14" ht="14.1">
      <c r="A25" s="23" t="s">
        <v>13</v>
      </c>
      <c r="B25" s="22"/>
      <c r="C25" s="33" t="s">
        <v>13</v>
      </c>
      <c r="D25" s="22"/>
      <c r="E25" s="23" t="s">
        <v>112</v>
      </c>
      <c r="F25" s="22"/>
      <c r="G25" s="33" t="s">
        <v>9</v>
      </c>
      <c r="H25" s="22"/>
      <c r="I25" s="33" t="s">
        <v>31</v>
      </c>
      <c r="J25" s="22"/>
      <c r="K25" s="33" t="s">
        <v>297</v>
      </c>
      <c r="L25" s="22"/>
      <c r="M25" s="33" t="s">
        <v>297</v>
      </c>
      <c r="N25" s="22"/>
    </row>
    <row r="26" spans="1:14" ht="14.1">
      <c r="A26" s="21" t="s">
        <v>15</v>
      </c>
      <c r="B26" s="22"/>
      <c r="C26" s="21" t="s">
        <v>15</v>
      </c>
      <c r="D26" s="22"/>
      <c r="E26" s="21" t="s">
        <v>15</v>
      </c>
      <c r="F26" s="22"/>
      <c r="G26" s="21" t="s">
        <v>15</v>
      </c>
      <c r="H26" s="22"/>
      <c r="I26" s="21" t="s">
        <v>24</v>
      </c>
      <c r="J26" s="22"/>
      <c r="K26" s="21" t="s">
        <v>24</v>
      </c>
      <c r="L26" s="22"/>
      <c r="M26" s="21" t="s">
        <v>24</v>
      </c>
      <c r="N26" s="22"/>
    </row>
    <row r="27" spans="1:14" ht="14.1">
      <c r="A27" s="59" t="s">
        <v>25</v>
      </c>
      <c r="B27" s="22"/>
      <c r="C27" s="59" t="s">
        <v>25</v>
      </c>
      <c r="D27" s="22"/>
      <c r="E27" s="59" t="s">
        <v>25</v>
      </c>
      <c r="F27" s="22"/>
      <c r="G27" s="59" t="s">
        <v>25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29" t="s">
        <v>27</v>
      </c>
      <c r="D28" s="22"/>
      <c r="E28" s="29" t="s">
        <v>27</v>
      </c>
      <c r="F28" s="22"/>
      <c r="G28" s="29" t="s">
        <v>27</v>
      </c>
      <c r="H28" s="22"/>
      <c r="I28" s="29" t="s">
        <v>26</v>
      </c>
      <c r="J28" s="22"/>
      <c r="K28" s="29" t="s">
        <v>26</v>
      </c>
      <c r="L28" s="22"/>
      <c r="M28" s="29" t="s">
        <v>26</v>
      </c>
      <c r="N28" s="22"/>
    </row>
    <row r="29" spans="1:14" ht="18" customHeight="1">
      <c r="A29" s="30" t="s">
        <v>50</v>
      </c>
      <c r="B29" s="22"/>
      <c r="C29" s="30" t="s">
        <v>50</v>
      </c>
      <c r="D29" s="22"/>
      <c r="E29" s="30" t="s">
        <v>50</v>
      </c>
      <c r="F29" s="22"/>
      <c r="G29" s="30" t="s">
        <v>50</v>
      </c>
      <c r="H29" s="22"/>
      <c r="I29" s="30" t="s">
        <v>63</v>
      </c>
      <c r="J29" s="22"/>
      <c r="K29" s="30" t="s">
        <v>333</v>
      </c>
      <c r="L29" s="22"/>
      <c r="M29" s="30" t="s">
        <v>333</v>
      </c>
      <c r="N29" s="22"/>
    </row>
    <row r="30" spans="1:14" ht="18" customHeight="1">
      <c r="A30" s="2">
        <f>M22+1</f>
        <v>44851</v>
      </c>
      <c r="B30" s="3"/>
      <c r="C30" s="2">
        <f>A30+1</f>
        <v>44852</v>
      </c>
      <c r="D30" s="3"/>
      <c r="E30" s="2">
        <f>C30+1</f>
        <v>44853</v>
      </c>
      <c r="F30" s="3"/>
      <c r="G30" s="2">
        <f>E30+1</f>
        <v>44854</v>
      </c>
      <c r="H30" s="3"/>
      <c r="I30" s="2">
        <f>G30+1</f>
        <v>44855</v>
      </c>
      <c r="J30" s="3"/>
      <c r="K30" s="4">
        <f>I30+1</f>
        <v>44856</v>
      </c>
      <c r="L30" s="5"/>
      <c r="M30" s="4">
        <f>K30+1</f>
        <v>44857</v>
      </c>
      <c r="N30" s="5"/>
    </row>
    <row r="31" spans="1:14" ht="14.1">
      <c r="A31" s="26" t="s">
        <v>85</v>
      </c>
      <c r="B31" s="22"/>
      <c r="C31" s="34" t="s">
        <v>24</v>
      </c>
      <c r="D31" s="22"/>
      <c r="E31" s="26" t="s">
        <v>135</v>
      </c>
      <c r="F31" s="22"/>
      <c r="G31" s="34" t="s">
        <v>24</v>
      </c>
      <c r="H31" s="22"/>
      <c r="I31" s="34" t="s">
        <v>31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25" t="s">
        <v>16</v>
      </c>
      <c r="B32" s="22"/>
      <c r="C32" s="25" t="s">
        <v>16</v>
      </c>
      <c r="D32" s="22"/>
      <c r="E32" s="25" t="s">
        <v>16</v>
      </c>
      <c r="F32" s="22"/>
      <c r="G32" s="25" t="s">
        <v>16</v>
      </c>
      <c r="H32" s="22"/>
      <c r="I32" s="25" t="s">
        <v>16</v>
      </c>
      <c r="J32" s="22"/>
      <c r="K32" s="25" t="s">
        <v>16</v>
      </c>
      <c r="L32" s="22"/>
      <c r="M32" s="25" t="s">
        <v>16</v>
      </c>
      <c r="N32" s="22"/>
    </row>
    <row r="33" spans="1:14" ht="14.1">
      <c r="A33" s="23" t="s">
        <v>45</v>
      </c>
      <c r="B33" s="22"/>
      <c r="C33" s="23" t="s">
        <v>9</v>
      </c>
      <c r="D33" s="22"/>
      <c r="E33" s="23" t="s">
        <v>53</v>
      </c>
      <c r="F33" s="22"/>
      <c r="G33" s="23" t="s">
        <v>9</v>
      </c>
      <c r="H33" s="22"/>
      <c r="I33" s="33" t="s">
        <v>82</v>
      </c>
      <c r="J33" s="22"/>
      <c r="K33" s="33" t="s">
        <v>115</v>
      </c>
      <c r="L33" s="22"/>
      <c r="M33" s="33" t="s">
        <v>115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28</v>
      </c>
      <c r="B36" s="22"/>
      <c r="C36" s="28" t="s">
        <v>33</v>
      </c>
      <c r="D36" s="22"/>
      <c r="E36" s="29" t="s">
        <v>28</v>
      </c>
      <c r="F36" s="22"/>
      <c r="G36" s="28" t="s">
        <v>17</v>
      </c>
      <c r="H36" s="22"/>
      <c r="I36" s="28" t="s">
        <v>28</v>
      </c>
      <c r="J36" s="22"/>
      <c r="K36" s="28" t="s">
        <v>334</v>
      </c>
      <c r="L36" s="22"/>
      <c r="M36" s="28" t="s">
        <v>334</v>
      </c>
      <c r="N36" s="22"/>
    </row>
    <row r="37" spans="1:14" ht="18" customHeight="1">
      <c r="A37" s="30" t="s">
        <v>50</v>
      </c>
      <c r="B37" s="22"/>
      <c r="C37" s="30" t="s">
        <v>50</v>
      </c>
      <c r="D37" s="22"/>
      <c r="E37" s="30" t="s">
        <v>50</v>
      </c>
      <c r="F37" s="22"/>
      <c r="G37" s="32" t="s">
        <v>63</v>
      </c>
      <c r="H37" s="31"/>
      <c r="I37" s="32" t="s">
        <v>50</v>
      </c>
      <c r="J37" s="31"/>
      <c r="K37" s="32" t="s">
        <v>50</v>
      </c>
      <c r="L37" s="31"/>
      <c r="M37" s="32" t="s">
        <v>50</v>
      </c>
      <c r="N37" s="31"/>
    </row>
    <row r="38" spans="1:14" ht="18" customHeight="1">
      <c r="A38" s="2">
        <f>IF(M30="","",IF(MONTH(M30+1)&lt;&gt;MONTH($A$1),"",M30+1))</f>
        <v>44858</v>
      </c>
      <c r="B38" s="3"/>
      <c r="C38" s="2">
        <f>IF(A38="","",IF(MONTH(A38+1)&lt;&gt;MONTH($A$1),"",A38+1))</f>
        <v>44859</v>
      </c>
      <c r="D38" s="3"/>
      <c r="E38" s="2">
        <f>IF(C38="","",IF(MONTH(C38+1)&lt;&gt;MONTH($A$1),"",C38+1))</f>
        <v>44860</v>
      </c>
      <c r="F38" s="3"/>
      <c r="G38" s="2">
        <f>IF(E38="","",IF(MONTH(E38+1)&lt;&gt;MONTH($A$1),"",E38+1))</f>
        <v>44861</v>
      </c>
      <c r="H38" s="3"/>
      <c r="I38" s="2">
        <f>IF(G38="","",IF(MONTH(G38+1)&lt;&gt;MONTH($A$1),"",G38+1))</f>
        <v>44862</v>
      </c>
      <c r="J38" s="3"/>
      <c r="K38" s="4">
        <f>IF(I38="","",IF(MONTH(I38+1)&lt;&gt;MONTH($A$1),"",I38+1))</f>
        <v>44863</v>
      </c>
      <c r="L38" s="5"/>
      <c r="M38" s="4">
        <f>IF(K38="","",IF(MONTH(K38+1)&lt;&gt;MONTH($A$1),"",K38+1))</f>
        <v>44864</v>
      </c>
      <c r="N38" s="5"/>
    </row>
    <row r="39" spans="1:14" ht="14.1">
      <c r="A39" s="26" t="s">
        <v>92</v>
      </c>
      <c r="B39" s="22"/>
      <c r="C39" s="26" t="s">
        <v>9</v>
      </c>
      <c r="D39" s="22"/>
      <c r="E39" s="26" t="s">
        <v>53</v>
      </c>
      <c r="F39" s="22"/>
      <c r="G39" s="26" t="s">
        <v>9</v>
      </c>
      <c r="H39" s="22"/>
      <c r="I39" s="26" t="s">
        <v>78</v>
      </c>
      <c r="J39" s="22"/>
      <c r="K39" s="26" t="s">
        <v>49</v>
      </c>
      <c r="L39" s="22"/>
      <c r="M39" s="34"/>
      <c r="N39" s="22"/>
    </row>
    <row r="40" spans="1:14" ht="14.1">
      <c r="A40" s="25" t="s">
        <v>54</v>
      </c>
      <c r="B40" s="22"/>
      <c r="C40" s="25" t="s">
        <v>54</v>
      </c>
      <c r="D40" s="22"/>
      <c r="E40" s="25" t="s">
        <v>54</v>
      </c>
      <c r="F40" s="22"/>
      <c r="G40" s="25" t="s">
        <v>54</v>
      </c>
      <c r="H40" s="22"/>
      <c r="I40" s="25" t="s">
        <v>54</v>
      </c>
      <c r="J40" s="22"/>
      <c r="K40" s="25" t="s">
        <v>54</v>
      </c>
      <c r="L40" s="22"/>
      <c r="M40" s="24"/>
      <c r="N40" s="22"/>
    </row>
    <row r="41" spans="1:14" ht="14.1">
      <c r="A41" s="23" t="s">
        <v>11</v>
      </c>
      <c r="B41" s="22"/>
      <c r="C41" s="23" t="s">
        <v>11</v>
      </c>
      <c r="D41" s="22"/>
      <c r="E41" s="23" t="s">
        <v>10</v>
      </c>
      <c r="F41" s="22"/>
      <c r="G41" s="23" t="s">
        <v>11</v>
      </c>
      <c r="H41" s="22"/>
      <c r="I41" s="23" t="s">
        <v>10</v>
      </c>
      <c r="J41" s="22"/>
      <c r="K41" s="23" t="s">
        <v>75</v>
      </c>
      <c r="L41" s="22"/>
      <c r="M41" s="33"/>
      <c r="N41" s="22"/>
    </row>
    <row r="42" spans="1:14" ht="14.1">
      <c r="A42" s="21" t="s">
        <v>24</v>
      </c>
      <c r="B42" s="22"/>
      <c r="C42" s="21" t="s">
        <v>15</v>
      </c>
      <c r="D42" s="22"/>
      <c r="E42" s="21" t="s">
        <v>24</v>
      </c>
      <c r="F42" s="22"/>
      <c r="G42" s="27" t="s">
        <v>15</v>
      </c>
      <c r="H42" s="22"/>
      <c r="I42" s="27" t="s">
        <v>15</v>
      </c>
      <c r="J42" s="22"/>
      <c r="K42" s="27" t="s">
        <v>15</v>
      </c>
      <c r="L42" s="22"/>
      <c r="M42" s="27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59" t="s">
        <v>25</v>
      </c>
      <c r="J43" s="22"/>
      <c r="K43" s="59" t="s">
        <v>25</v>
      </c>
      <c r="L43" s="22"/>
      <c r="M43" s="60"/>
      <c r="N43" s="22"/>
    </row>
    <row r="44" spans="1:14" ht="14.1">
      <c r="A44" s="29" t="s">
        <v>27</v>
      </c>
      <c r="B44" s="22"/>
      <c r="C44" s="28" t="s">
        <v>27</v>
      </c>
      <c r="D44" s="22"/>
      <c r="E44" s="29" t="s">
        <v>28</v>
      </c>
      <c r="F44" s="22"/>
      <c r="G44" s="28" t="s">
        <v>27</v>
      </c>
      <c r="H44" s="22"/>
      <c r="I44" s="28" t="s">
        <v>27</v>
      </c>
      <c r="J44" s="22"/>
      <c r="K44" s="28" t="s">
        <v>137</v>
      </c>
      <c r="L44" s="22"/>
      <c r="M44" s="28"/>
      <c r="N44" s="22"/>
    </row>
    <row r="45" spans="1:14" ht="18" customHeight="1">
      <c r="A45" s="30" t="s">
        <v>30</v>
      </c>
      <c r="B45" s="22"/>
      <c r="C45" s="30" t="s">
        <v>30</v>
      </c>
      <c r="D45" s="22"/>
      <c r="E45" s="30" t="s">
        <v>30</v>
      </c>
      <c r="F45" s="22"/>
      <c r="G45" s="30" t="s">
        <v>30</v>
      </c>
      <c r="H45" s="22"/>
      <c r="I45" s="30" t="s">
        <v>30</v>
      </c>
      <c r="J45" s="22"/>
      <c r="K45" s="30" t="s">
        <v>30</v>
      </c>
      <c r="L45" s="22"/>
      <c r="M45" s="32"/>
      <c r="N45" s="31"/>
    </row>
    <row r="46" spans="1:14" ht="18" customHeight="1">
      <c r="A46" s="2">
        <f>IF(M38="","",IF(MONTH(M38+1)&lt;&gt;MONTH($A$1),"",M38+1))</f>
        <v>44865</v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 t="s">
        <v>335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 t="s">
        <v>336</v>
      </c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 t="s">
        <v>337</v>
      </c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EDATE('©'!A17,4)</f>
        <v>44866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NOVEMBER 2022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44872</v>
      </c>
      <c r="B5" s="51"/>
      <c r="C5" s="50">
        <f>C14</f>
        <v>44873</v>
      </c>
      <c r="D5" s="51"/>
      <c r="E5" s="50">
        <f>E14</f>
        <v>44874</v>
      </c>
      <c r="F5" s="51"/>
      <c r="G5" s="50">
        <f>G14</f>
        <v>44875</v>
      </c>
      <c r="H5" s="51"/>
      <c r="I5" s="50">
        <f>I14</f>
        <v>44876</v>
      </c>
      <c r="J5" s="51"/>
      <c r="K5" s="50">
        <f>K14</f>
        <v>44877</v>
      </c>
      <c r="L5" s="51"/>
      <c r="M5" s="50">
        <f>M14</f>
        <v>44878</v>
      </c>
      <c r="N5" s="5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44866</v>
      </c>
      <c r="D6" s="3"/>
      <c r="E6" s="2">
        <f>IF(C6="",IF(WEEKDAY($A$1,1)=MOD(startday,7)+2,$A$1,""),C6+1)</f>
        <v>44867</v>
      </c>
      <c r="F6" s="3"/>
      <c r="G6" s="2">
        <f>IF(E6="",IF(WEEKDAY($A$1,1)=MOD(startday,7)+3,$A$1,""),E6+1)</f>
        <v>44868</v>
      </c>
      <c r="H6" s="3"/>
      <c r="I6" s="2">
        <f>IF(G6="",IF(WEEKDAY($A$1,1)=MOD(startday,7)+4,$A$1,""),G6+1)</f>
        <v>44869</v>
      </c>
      <c r="J6" s="3"/>
      <c r="K6" s="4">
        <f>IF(I6="",IF(WEEKDAY($A$1,1)=MOD(startday,7)+5,$A$1,""),I6+1)</f>
        <v>44870</v>
      </c>
      <c r="L6" s="5"/>
      <c r="M6" s="4">
        <f>IF(K6="",IF(WEEKDAY($A$1,1)=MOD(startday+5,7)+1,$A$1,""),K6+1)</f>
        <v>44871</v>
      </c>
      <c r="N6" s="5"/>
    </row>
    <row r="7" spans="1:14" ht="14.1">
      <c r="A7" s="26"/>
      <c r="B7" s="22"/>
      <c r="C7" s="34"/>
      <c r="D7" s="22"/>
      <c r="E7" s="26"/>
      <c r="F7" s="22"/>
      <c r="G7" s="34"/>
      <c r="H7" s="22"/>
      <c r="I7" s="34"/>
      <c r="J7" s="22"/>
      <c r="K7" s="34"/>
      <c r="L7" s="22"/>
      <c r="M7" s="34" t="s">
        <v>50</v>
      </c>
      <c r="N7" s="22"/>
    </row>
    <row r="8" spans="1:14" ht="14.1">
      <c r="A8" s="25"/>
      <c r="B8" s="22"/>
      <c r="C8" s="24"/>
      <c r="D8" s="22"/>
      <c r="E8" s="25"/>
      <c r="F8" s="22"/>
      <c r="G8" s="24"/>
      <c r="H8" s="22"/>
      <c r="I8" s="24"/>
      <c r="J8" s="22"/>
      <c r="K8" s="24"/>
      <c r="L8" s="22"/>
      <c r="M8" s="24" t="s">
        <v>54</v>
      </c>
      <c r="N8" s="22"/>
    </row>
    <row r="9" spans="1:14" ht="14.1">
      <c r="A9" s="23"/>
      <c r="B9" s="22"/>
      <c r="C9" s="33"/>
      <c r="D9" s="22"/>
      <c r="E9" s="23"/>
      <c r="F9" s="22"/>
      <c r="G9" s="33"/>
      <c r="H9" s="22"/>
      <c r="I9" s="33"/>
      <c r="J9" s="22"/>
      <c r="K9" s="33"/>
      <c r="L9" s="22"/>
      <c r="M9" s="33" t="s">
        <v>10</v>
      </c>
      <c r="N9" s="22"/>
    </row>
    <row r="10" spans="1:14" ht="14.1">
      <c r="A10" s="21"/>
      <c r="B10" s="22"/>
      <c r="C10" s="27"/>
      <c r="D10" s="22"/>
      <c r="E10" s="21"/>
      <c r="F10" s="22"/>
      <c r="G10" s="27"/>
      <c r="H10" s="22"/>
      <c r="I10" s="27"/>
      <c r="J10" s="22"/>
      <c r="K10" s="27"/>
      <c r="L10" s="22"/>
      <c r="M10" s="27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/>
      <c r="L11" s="22"/>
      <c r="M11" s="60" t="s">
        <v>25</v>
      </c>
      <c r="N11" s="22"/>
    </row>
    <row r="12" spans="1:14" ht="14.1">
      <c r="A12" s="29"/>
      <c r="B12" s="22"/>
      <c r="C12" s="28"/>
      <c r="D12" s="22"/>
      <c r="E12" s="29"/>
      <c r="F12" s="22"/>
      <c r="G12" s="28"/>
      <c r="H12" s="22"/>
      <c r="I12" s="28"/>
      <c r="J12" s="22"/>
      <c r="K12" s="28"/>
      <c r="L12" s="22"/>
      <c r="M12" s="28" t="s">
        <v>137</v>
      </c>
      <c r="N12" s="22"/>
    </row>
    <row r="13" spans="1:14" ht="18" customHeight="1">
      <c r="A13" s="30"/>
      <c r="B13" s="22"/>
      <c r="C13" s="32"/>
      <c r="D13" s="31"/>
      <c r="E13" s="30"/>
      <c r="F13" s="22"/>
      <c r="G13" s="32"/>
      <c r="H13" s="31"/>
      <c r="I13" s="32"/>
      <c r="J13" s="31"/>
      <c r="K13" s="32"/>
      <c r="L13" s="31"/>
      <c r="M13" s="32" t="s">
        <v>30</v>
      </c>
      <c r="N13" s="31"/>
    </row>
    <row r="14" spans="1:14" ht="18" customHeight="1">
      <c r="A14" s="2">
        <f>M6+1</f>
        <v>44872</v>
      </c>
      <c r="B14" s="3"/>
      <c r="C14" s="2">
        <f>A14+1</f>
        <v>44873</v>
      </c>
      <c r="D14" s="3"/>
      <c r="E14" s="2">
        <f>C14+1</f>
        <v>44874</v>
      </c>
      <c r="F14" s="3"/>
      <c r="G14" s="2">
        <f>E14+1</f>
        <v>44875</v>
      </c>
      <c r="H14" s="3"/>
      <c r="I14" s="2">
        <f>G14+1</f>
        <v>44876</v>
      </c>
      <c r="J14" s="3"/>
      <c r="K14" s="4">
        <f>I14+1</f>
        <v>44877</v>
      </c>
      <c r="L14" s="5"/>
      <c r="M14" s="4">
        <f>K14+1</f>
        <v>44878</v>
      </c>
      <c r="N14" s="5"/>
    </row>
    <row r="15" spans="1:14" ht="14.1">
      <c r="A15" s="26" t="s">
        <v>52</v>
      </c>
      <c r="B15" s="22"/>
      <c r="C15" s="34" t="s">
        <v>50</v>
      </c>
      <c r="D15" s="22"/>
      <c r="E15" s="26" t="s">
        <v>49</v>
      </c>
      <c r="F15" s="22"/>
      <c r="G15" s="34" t="s">
        <v>50</v>
      </c>
      <c r="H15" s="22"/>
      <c r="I15" s="34" t="s">
        <v>135</v>
      </c>
      <c r="J15" s="22"/>
      <c r="K15" s="34" t="s">
        <v>24</v>
      </c>
      <c r="L15" s="22"/>
      <c r="M15" s="34" t="s">
        <v>24</v>
      </c>
      <c r="N15" s="22"/>
    </row>
    <row r="16" spans="1:14" ht="14.1">
      <c r="A16" s="25" t="s">
        <v>12</v>
      </c>
      <c r="B16" s="22"/>
      <c r="C16" s="25" t="s">
        <v>12</v>
      </c>
      <c r="D16" s="22"/>
      <c r="E16" s="25" t="s">
        <v>12</v>
      </c>
      <c r="F16" s="22"/>
      <c r="G16" s="25" t="s">
        <v>12</v>
      </c>
      <c r="H16" s="22"/>
      <c r="I16" s="25" t="s">
        <v>12</v>
      </c>
      <c r="J16" s="22"/>
      <c r="K16" s="25" t="s">
        <v>12</v>
      </c>
      <c r="L16" s="22"/>
      <c r="M16" s="25" t="s">
        <v>12</v>
      </c>
      <c r="N16" s="22"/>
    </row>
    <row r="17" spans="1:14" ht="14.1">
      <c r="A17" s="23" t="s">
        <v>11</v>
      </c>
      <c r="B17" s="22"/>
      <c r="C17" s="33" t="s">
        <v>11</v>
      </c>
      <c r="D17" s="22"/>
      <c r="E17" s="33" t="s">
        <v>11</v>
      </c>
      <c r="F17" s="22"/>
      <c r="G17" s="33" t="s">
        <v>40</v>
      </c>
      <c r="H17" s="22"/>
      <c r="I17" s="33" t="s">
        <v>88</v>
      </c>
      <c r="J17" s="22"/>
      <c r="K17" s="33" t="s">
        <v>338</v>
      </c>
      <c r="L17" s="22"/>
      <c r="M17" s="33" t="s">
        <v>338</v>
      </c>
      <c r="N17" s="22"/>
    </row>
    <row r="18" spans="1:14" ht="14.1">
      <c r="A18" s="21" t="s">
        <v>15</v>
      </c>
      <c r="B18" s="22"/>
      <c r="C18" s="21" t="s">
        <v>15</v>
      </c>
      <c r="D18" s="22"/>
      <c r="E18" s="21" t="s">
        <v>15</v>
      </c>
      <c r="F18" s="22"/>
      <c r="G18" s="21" t="s">
        <v>15</v>
      </c>
      <c r="H18" s="22"/>
      <c r="I18" s="27" t="s">
        <v>24</v>
      </c>
      <c r="J18" s="22"/>
      <c r="K18" s="27" t="s">
        <v>24</v>
      </c>
      <c r="L18" s="22"/>
      <c r="M18" s="27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27</v>
      </c>
      <c r="B20" s="22"/>
      <c r="C20" s="29" t="s">
        <v>27</v>
      </c>
      <c r="D20" s="22"/>
      <c r="E20" s="29" t="s">
        <v>28</v>
      </c>
      <c r="F20" s="22"/>
      <c r="G20" s="28" t="s">
        <v>27</v>
      </c>
      <c r="H20" s="22"/>
      <c r="I20" s="28" t="s">
        <v>26</v>
      </c>
      <c r="J20" s="22"/>
      <c r="K20" s="28" t="s">
        <v>26</v>
      </c>
      <c r="L20" s="22"/>
      <c r="M20" s="28" t="s">
        <v>26</v>
      </c>
      <c r="N20" s="22"/>
    </row>
    <row r="21" spans="1:14" ht="18" customHeight="1">
      <c r="A21" s="30" t="s">
        <v>30</v>
      </c>
      <c r="B21" s="22"/>
      <c r="C21" s="30" t="s">
        <v>30</v>
      </c>
      <c r="D21" s="22"/>
      <c r="E21" s="30" t="s">
        <v>30</v>
      </c>
      <c r="F21" s="22"/>
      <c r="G21" s="30" t="s">
        <v>30</v>
      </c>
      <c r="H21" s="22"/>
      <c r="I21" s="30" t="s">
        <v>29</v>
      </c>
      <c r="J21" s="22"/>
      <c r="K21" s="30" t="s">
        <v>146</v>
      </c>
      <c r="L21" s="22"/>
      <c r="M21" s="30" t="s">
        <v>146</v>
      </c>
      <c r="N21" s="22"/>
    </row>
    <row r="22" spans="1:14" ht="18" customHeight="1">
      <c r="A22" s="2">
        <f>M14+1</f>
        <v>44879</v>
      </c>
      <c r="B22" s="3"/>
      <c r="C22" s="2">
        <f>A22+1</f>
        <v>44880</v>
      </c>
      <c r="D22" s="3"/>
      <c r="E22" s="2">
        <f>C22+1</f>
        <v>44881</v>
      </c>
      <c r="F22" s="3"/>
      <c r="G22" s="2">
        <f>E22+1</f>
        <v>44882</v>
      </c>
      <c r="H22" s="3"/>
      <c r="I22" s="2">
        <f>G22+1</f>
        <v>44883</v>
      </c>
      <c r="J22" s="3"/>
      <c r="K22" s="4">
        <f>I22+1</f>
        <v>44884</v>
      </c>
      <c r="L22" s="5"/>
      <c r="M22" s="4">
        <f>K22+1</f>
        <v>44885</v>
      </c>
      <c r="N22" s="5"/>
    </row>
    <row r="23" spans="1:14" ht="14.1">
      <c r="A23" s="26" t="s">
        <v>85</v>
      </c>
      <c r="B23" s="22"/>
      <c r="C23" s="34" t="s">
        <v>24</v>
      </c>
      <c r="D23" s="22"/>
      <c r="E23" s="26" t="s">
        <v>135</v>
      </c>
      <c r="F23" s="22"/>
      <c r="G23" s="34" t="s">
        <v>24</v>
      </c>
      <c r="H23" s="22"/>
      <c r="I23" s="34" t="s">
        <v>83</v>
      </c>
      <c r="J23" s="22"/>
      <c r="K23" s="34" t="s">
        <v>11</v>
      </c>
      <c r="L23" s="22"/>
      <c r="M23" s="34" t="s">
        <v>11</v>
      </c>
      <c r="N23" s="22"/>
    </row>
    <row r="24" spans="1:14" ht="14.1">
      <c r="A24" s="25" t="s">
        <v>38</v>
      </c>
      <c r="B24" s="22"/>
      <c r="C24" s="25" t="s">
        <v>38</v>
      </c>
      <c r="D24" s="22"/>
      <c r="E24" s="25" t="s">
        <v>38</v>
      </c>
      <c r="F24" s="22"/>
      <c r="G24" s="25" t="s">
        <v>38</v>
      </c>
      <c r="H24" s="22"/>
      <c r="I24" s="25" t="s">
        <v>38</v>
      </c>
      <c r="J24" s="22"/>
      <c r="K24" s="25" t="s">
        <v>38</v>
      </c>
      <c r="L24" s="22"/>
      <c r="M24" s="25" t="s">
        <v>38</v>
      </c>
      <c r="N24" s="22"/>
    </row>
    <row r="25" spans="1:14" ht="14.1">
      <c r="A25" s="23" t="s">
        <v>45</v>
      </c>
      <c r="B25" s="22"/>
      <c r="C25" s="33" t="s">
        <v>9</v>
      </c>
      <c r="D25" s="22"/>
      <c r="E25" s="33" t="s">
        <v>53</v>
      </c>
      <c r="F25" s="22"/>
      <c r="G25" s="33" t="s">
        <v>31</v>
      </c>
      <c r="H25" s="22"/>
      <c r="I25" s="33" t="s">
        <v>9</v>
      </c>
      <c r="J25" s="22"/>
      <c r="K25" s="33" t="s">
        <v>62</v>
      </c>
      <c r="L25" s="22"/>
      <c r="M25" s="33" t="s">
        <v>62</v>
      </c>
      <c r="N25" s="22"/>
    </row>
    <row r="26" spans="1:14" ht="14.1">
      <c r="A26" s="21" t="s">
        <v>15</v>
      </c>
      <c r="B26" s="22"/>
      <c r="C26" s="21" t="s">
        <v>15</v>
      </c>
      <c r="D26" s="22"/>
      <c r="E26" s="21" t="s">
        <v>15</v>
      </c>
      <c r="F26" s="22"/>
      <c r="G26" s="21" t="s">
        <v>15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28" t="s">
        <v>17</v>
      </c>
      <c r="D28" s="22"/>
      <c r="E28" s="29" t="s">
        <v>28</v>
      </c>
      <c r="F28" s="22"/>
      <c r="G28" s="28" t="s">
        <v>17</v>
      </c>
      <c r="H28" s="22"/>
      <c r="I28" s="28" t="s">
        <v>28</v>
      </c>
      <c r="J28" s="22"/>
      <c r="K28" s="28" t="s">
        <v>138</v>
      </c>
      <c r="L28" s="22"/>
      <c r="M28" s="28" t="s">
        <v>17</v>
      </c>
      <c r="N28" s="22"/>
    </row>
    <row r="29" spans="1:14" ht="18" customHeight="1">
      <c r="A29" s="30" t="s">
        <v>50</v>
      </c>
      <c r="B29" s="22"/>
      <c r="C29" s="32" t="s">
        <v>63</v>
      </c>
      <c r="D29" s="31"/>
      <c r="E29" s="30" t="s">
        <v>50</v>
      </c>
      <c r="F29" s="22"/>
      <c r="G29" s="32" t="s">
        <v>63</v>
      </c>
      <c r="H29" s="31"/>
      <c r="I29" s="32" t="s">
        <v>50</v>
      </c>
      <c r="J29" s="31"/>
      <c r="K29" s="32" t="s">
        <v>50</v>
      </c>
      <c r="L29" s="31"/>
      <c r="M29" s="32" t="s">
        <v>20</v>
      </c>
      <c r="N29" s="31"/>
    </row>
    <row r="30" spans="1:14" ht="18" customHeight="1">
      <c r="A30" s="2">
        <f>M22+1</f>
        <v>44886</v>
      </c>
      <c r="B30" s="3"/>
      <c r="C30" s="2">
        <f>A30+1</f>
        <v>44887</v>
      </c>
      <c r="D30" s="3"/>
      <c r="E30" s="2">
        <f>C30+1</f>
        <v>44888</v>
      </c>
      <c r="F30" s="3"/>
      <c r="G30" s="2">
        <f>E30+1</f>
        <v>44889</v>
      </c>
      <c r="H30" s="3"/>
      <c r="I30" s="2">
        <f>G30+1</f>
        <v>44890</v>
      </c>
      <c r="J30" s="3"/>
      <c r="K30" s="4">
        <f>I30+1</f>
        <v>44891</v>
      </c>
      <c r="L30" s="5"/>
      <c r="M30" s="4">
        <f>K30+1</f>
        <v>44892</v>
      </c>
      <c r="N30" s="5"/>
    </row>
    <row r="31" spans="1:14" ht="14.1">
      <c r="A31" s="26" t="s">
        <v>10</v>
      </c>
      <c r="B31" s="22"/>
      <c r="C31" s="34" t="s">
        <v>11</v>
      </c>
      <c r="D31" s="22"/>
      <c r="E31" s="26" t="s">
        <v>39</v>
      </c>
      <c r="F31" s="22"/>
      <c r="G31" s="34" t="s">
        <v>11</v>
      </c>
      <c r="H31" s="22"/>
      <c r="I31" s="34" t="s">
        <v>31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25" t="s">
        <v>42</v>
      </c>
      <c r="B32" s="22"/>
      <c r="C32" s="25" t="s">
        <v>42</v>
      </c>
      <c r="D32" s="22"/>
      <c r="E32" s="25" t="s">
        <v>42</v>
      </c>
      <c r="F32" s="22"/>
      <c r="G32" s="25" t="s">
        <v>42</v>
      </c>
      <c r="H32" s="22"/>
      <c r="I32" s="25" t="s">
        <v>42</v>
      </c>
      <c r="J32" s="22"/>
      <c r="K32" s="25" t="s">
        <v>42</v>
      </c>
      <c r="L32" s="22"/>
      <c r="M32" s="25" t="s">
        <v>42</v>
      </c>
      <c r="N32" s="22"/>
    </row>
    <row r="33" spans="1:14" ht="14.1">
      <c r="A33" s="23" t="s">
        <v>53</v>
      </c>
      <c r="B33" s="22"/>
      <c r="C33" s="33" t="s">
        <v>9</v>
      </c>
      <c r="D33" s="22"/>
      <c r="E33" s="23" t="s">
        <v>45</v>
      </c>
      <c r="F33" s="22"/>
      <c r="G33" s="33" t="s">
        <v>9</v>
      </c>
      <c r="H33" s="22"/>
      <c r="I33" s="33" t="s">
        <v>75</v>
      </c>
      <c r="J33" s="22"/>
      <c r="K33" s="33" t="s">
        <v>39</v>
      </c>
      <c r="L33" s="22"/>
      <c r="M33" s="33" t="s">
        <v>339</v>
      </c>
      <c r="N33" s="22"/>
    </row>
    <row r="34" spans="1:14" ht="14.1">
      <c r="A34" s="21" t="s">
        <v>24</v>
      </c>
      <c r="B34" s="22"/>
      <c r="C34" s="21" t="s">
        <v>24</v>
      </c>
      <c r="D34" s="22"/>
      <c r="E34" s="21" t="s">
        <v>24</v>
      </c>
      <c r="F34" s="22"/>
      <c r="G34" s="21" t="s">
        <v>24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13</v>
      </c>
      <c r="J35" s="22"/>
      <c r="K35" s="59" t="s">
        <v>13</v>
      </c>
      <c r="L35" s="22"/>
      <c r="M35" s="59" t="s">
        <v>13</v>
      </c>
      <c r="N35" s="22"/>
    </row>
    <row r="36" spans="1:14" ht="14.1">
      <c r="A36" s="29" t="s">
        <v>28</v>
      </c>
      <c r="B36" s="22"/>
      <c r="C36" s="28" t="s">
        <v>33</v>
      </c>
      <c r="D36" s="22"/>
      <c r="E36" s="29" t="s">
        <v>28</v>
      </c>
      <c r="F36" s="22"/>
      <c r="G36" s="28" t="s">
        <v>27</v>
      </c>
      <c r="H36" s="22"/>
      <c r="I36" s="28" t="s">
        <v>26</v>
      </c>
      <c r="J36" s="22"/>
      <c r="K36" s="28" t="s">
        <v>26</v>
      </c>
      <c r="L36" s="22"/>
      <c r="M36" s="28" t="s">
        <v>26</v>
      </c>
      <c r="N36" s="22"/>
    </row>
    <row r="37" spans="1:14" ht="18" customHeight="1">
      <c r="A37" s="30" t="s">
        <v>50</v>
      </c>
      <c r="B37" s="22"/>
      <c r="C37" s="30" t="s">
        <v>50</v>
      </c>
      <c r="D37" s="22"/>
      <c r="E37" s="30" t="s">
        <v>50</v>
      </c>
      <c r="F37" s="22"/>
      <c r="G37" s="30" t="s">
        <v>50</v>
      </c>
      <c r="H37" s="22"/>
      <c r="I37" s="30" t="s">
        <v>63</v>
      </c>
      <c r="J37" s="22"/>
      <c r="K37" s="30" t="s">
        <v>20</v>
      </c>
      <c r="L37" s="22"/>
      <c r="M37" s="30" t="s">
        <v>20</v>
      </c>
      <c r="N37" s="22"/>
    </row>
    <row r="38" spans="1:14" ht="18" customHeight="1">
      <c r="A38" s="2">
        <f>IF(M30="","",IF(MONTH(M30+1)&lt;&gt;MONTH($A$1),"",M30+1))</f>
        <v>44893</v>
      </c>
      <c r="B38" s="3"/>
      <c r="C38" s="2">
        <f>IF(A38="","",IF(MONTH(A38+1)&lt;&gt;MONTH($A$1),"",A38+1))</f>
        <v>44894</v>
      </c>
      <c r="D38" s="3"/>
      <c r="E38" s="2">
        <f>IF(C38="","",IF(MONTH(C38+1)&lt;&gt;MONTH($A$1),"",C38+1))</f>
        <v>44895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53</v>
      </c>
      <c r="B39" s="22"/>
      <c r="C39" s="34" t="s">
        <v>9</v>
      </c>
      <c r="D39" s="22"/>
      <c r="E39" s="26" t="s">
        <v>31</v>
      </c>
      <c r="F39" s="22"/>
      <c r="G39" s="34" t="s">
        <v>9</v>
      </c>
      <c r="H39" s="22"/>
      <c r="I39" s="34" t="s">
        <v>93</v>
      </c>
      <c r="J39" s="22"/>
      <c r="K39" s="34" t="s">
        <v>50</v>
      </c>
      <c r="L39" s="22"/>
      <c r="M39" s="34" t="s">
        <v>50</v>
      </c>
      <c r="N39" s="22"/>
    </row>
    <row r="40" spans="1:14" ht="14.1">
      <c r="A40" s="25" t="s">
        <v>59</v>
      </c>
      <c r="B40" s="22"/>
      <c r="C40" s="25" t="s">
        <v>59</v>
      </c>
      <c r="D40" s="22"/>
      <c r="E40" s="25" t="s">
        <v>59</v>
      </c>
      <c r="F40" s="22"/>
      <c r="G40" s="25" t="s">
        <v>59</v>
      </c>
      <c r="H40" s="22"/>
      <c r="I40" s="25" t="s">
        <v>59</v>
      </c>
      <c r="J40" s="22"/>
      <c r="K40" s="25" t="s">
        <v>59</v>
      </c>
      <c r="L40" s="22"/>
      <c r="M40" s="25" t="s">
        <v>59</v>
      </c>
      <c r="N40" s="22"/>
    </row>
    <row r="41" spans="1:14" ht="14.1">
      <c r="A41" s="23" t="s">
        <v>112</v>
      </c>
      <c r="B41" s="22"/>
      <c r="C41" s="33" t="s">
        <v>13</v>
      </c>
      <c r="D41" s="22"/>
      <c r="E41" s="23" t="s">
        <v>14</v>
      </c>
      <c r="F41" s="22"/>
      <c r="G41" s="33" t="s">
        <v>13</v>
      </c>
      <c r="H41" s="22"/>
      <c r="I41" s="33" t="s">
        <v>13</v>
      </c>
      <c r="J41" s="22"/>
      <c r="K41" s="33" t="s">
        <v>112</v>
      </c>
      <c r="L41" s="22"/>
      <c r="M41" s="33" t="s">
        <v>112</v>
      </c>
      <c r="N41" s="22"/>
    </row>
    <row r="42" spans="1:14" ht="14.1">
      <c r="A42" s="21" t="s">
        <v>24</v>
      </c>
      <c r="B42" s="22"/>
      <c r="C42" s="21" t="s">
        <v>24</v>
      </c>
      <c r="D42" s="22"/>
      <c r="E42" s="21" t="s">
        <v>24</v>
      </c>
      <c r="F42" s="22"/>
      <c r="G42" s="21" t="s">
        <v>24</v>
      </c>
      <c r="H42" s="22"/>
      <c r="I42" s="21" t="s">
        <v>24</v>
      </c>
      <c r="J42" s="22"/>
      <c r="K42" s="21" t="s">
        <v>24</v>
      </c>
      <c r="L42" s="22"/>
      <c r="M42" s="21" t="s">
        <v>24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17</v>
      </c>
      <c r="B44" s="22"/>
      <c r="C44" s="28" t="s">
        <v>17</v>
      </c>
      <c r="D44" s="22"/>
      <c r="E44" s="29" t="s">
        <v>28</v>
      </c>
      <c r="F44" s="22"/>
      <c r="G44" s="28" t="s">
        <v>26</v>
      </c>
      <c r="H44" s="22"/>
      <c r="I44" s="28" t="s">
        <v>26</v>
      </c>
      <c r="J44" s="22"/>
      <c r="K44" s="28" t="s">
        <v>138</v>
      </c>
      <c r="L44" s="22"/>
      <c r="M44" s="28" t="s">
        <v>138</v>
      </c>
      <c r="N44" s="22"/>
    </row>
    <row r="45" spans="1:14" ht="18" customHeight="1">
      <c r="A45" s="30" t="s">
        <v>29</v>
      </c>
      <c r="B45" s="22"/>
      <c r="C45" s="32" t="s">
        <v>29</v>
      </c>
      <c r="D45" s="31"/>
      <c r="E45" s="30" t="s">
        <v>30</v>
      </c>
      <c r="F45" s="22"/>
      <c r="G45" s="32" t="s">
        <v>29</v>
      </c>
      <c r="H45" s="31"/>
      <c r="I45" s="32" t="s">
        <v>29</v>
      </c>
      <c r="J45" s="31"/>
      <c r="K45" s="32" t="s">
        <v>30</v>
      </c>
      <c r="L45" s="31"/>
      <c r="M45" s="32" t="s">
        <v>30</v>
      </c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 t="s">
        <v>52</v>
      </c>
      <c r="B47" s="22"/>
      <c r="C47" s="34"/>
      <c r="D47" s="22"/>
      <c r="E47" s="35" t="s">
        <v>340</v>
      </c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 t="s">
        <v>54</v>
      </c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 t="s">
        <v>45</v>
      </c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 t="s">
        <v>15</v>
      </c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28</v>
      </c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 t="s">
        <v>77</v>
      </c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3">
        <f>EDATE('©'!A17,5)</f>
        <v>44896</v>
      </c>
      <c r="B1" s="36"/>
      <c r="C1" s="1"/>
      <c r="D1" s="1"/>
      <c r="E1" s="1"/>
      <c r="F1" s="1"/>
      <c r="G1" s="1"/>
      <c r="H1" s="1"/>
      <c r="I1" s="1"/>
      <c r="J1" s="1"/>
      <c r="K1" s="52" t="s">
        <v>0</v>
      </c>
      <c r="L1" s="36"/>
      <c r="M1" s="36"/>
      <c r="N1" s="36"/>
    </row>
    <row r="2" spans="1:14" ht="18" customHeight="1">
      <c r="A2" s="4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18" customHeight="1">
      <c r="A3" s="26" t="s">
        <v>2</v>
      </c>
      <c r="B3" s="36"/>
      <c r="C3" s="25" t="s">
        <v>3</v>
      </c>
      <c r="D3" s="36"/>
      <c r="E3" s="23" t="s">
        <v>4</v>
      </c>
      <c r="F3" s="36"/>
      <c r="G3" s="21" t="s">
        <v>5</v>
      </c>
      <c r="H3" s="36"/>
      <c r="I3" s="59" t="s">
        <v>6</v>
      </c>
      <c r="J3" s="36"/>
      <c r="K3" s="29" t="s">
        <v>7</v>
      </c>
      <c r="L3" s="36"/>
      <c r="M3" s="30" t="s">
        <v>8</v>
      </c>
      <c r="N3" s="36"/>
    </row>
    <row r="4" spans="1:14" ht="60.75" customHeight="1">
      <c r="A4" s="48" t="str">
        <f>UPPER(TEXT(A1,"mmmm yyyy"))</f>
        <v>DECEMBER 2022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</row>
    <row r="5" spans="1:14" ht="15" customHeight="1">
      <c r="A5" s="50">
        <f>A14</f>
        <v>44900</v>
      </c>
      <c r="B5" s="51"/>
      <c r="C5" s="50">
        <f>C14</f>
        <v>44901</v>
      </c>
      <c r="D5" s="51"/>
      <c r="E5" s="50">
        <f>E14</f>
        <v>44902</v>
      </c>
      <c r="F5" s="51"/>
      <c r="G5" s="50">
        <f>G14</f>
        <v>44903</v>
      </c>
      <c r="H5" s="51"/>
      <c r="I5" s="50">
        <f>I14</f>
        <v>44904</v>
      </c>
      <c r="J5" s="51"/>
      <c r="K5" s="50">
        <f>K14</f>
        <v>44905</v>
      </c>
      <c r="L5" s="51"/>
      <c r="M5" s="50">
        <f>M14</f>
        <v>44906</v>
      </c>
      <c r="N5" s="5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44896</v>
      </c>
      <c r="H6" s="3"/>
      <c r="I6" s="2">
        <f>IF(G6="",IF(WEEKDAY($A$1,1)=MOD(startday,7)+4,$A$1,""),G6+1)</f>
        <v>44897</v>
      </c>
      <c r="J6" s="3"/>
      <c r="K6" s="4">
        <f>IF(I6="",IF(WEEKDAY($A$1,1)=MOD(startday,7)+5,$A$1,""),I6+1)</f>
        <v>44898</v>
      </c>
      <c r="L6" s="5"/>
      <c r="M6" s="4">
        <f>IF(K6="",IF(WEEKDAY($A$1,1)=MOD(startday+5,7)+1,$A$1,""),K6+1)</f>
        <v>44899</v>
      </c>
      <c r="N6" s="5"/>
    </row>
    <row r="7" spans="1:14" ht="14.1">
      <c r="A7" s="26"/>
      <c r="B7" s="22"/>
      <c r="C7" s="34" t="s">
        <v>50</v>
      </c>
      <c r="D7" s="22"/>
      <c r="E7" s="34" t="s">
        <v>50</v>
      </c>
      <c r="F7" s="22"/>
      <c r="G7" s="34" t="s">
        <v>50</v>
      </c>
      <c r="H7" s="22"/>
      <c r="I7" s="34" t="s">
        <v>105</v>
      </c>
      <c r="J7" s="22"/>
      <c r="K7" s="34" t="s">
        <v>24</v>
      </c>
      <c r="L7" s="22"/>
      <c r="M7" s="34" t="s">
        <v>24</v>
      </c>
      <c r="N7" s="22"/>
    </row>
    <row r="8" spans="1:14" ht="14.1">
      <c r="A8" s="25"/>
      <c r="B8" s="22"/>
      <c r="C8" s="24" t="s">
        <v>54</v>
      </c>
      <c r="D8" s="22"/>
      <c r="E8" s="24" t="s">
        <v>54</v>
      </c>
      <c r="F8" s="22"/>
      <c r="G8" s="24" t="s">
        <v>54</v>
      </c>
      <c r="H8" s="22"/>
      <c r="I8" s="24" t="s">
        <v>54</v>
      </c>
      <c r="J8" s="22"/>
      <c r="K8" s="24" t="s">
        <v>54</v>
      </c>
      <c r="L8" s="22"/>
      <c r="M8" s="24" t="s">
        <v>54</v>
      </c>
      <c r="N8" s="22"/>
    </row>
    <row r="9" spans="1:14" ht="14.1">
      <c r="A9" s="23"/>
      <c r="B9" s="22"/>
      <c r="C9" s="33" t="s">
        <v>9</v>
      </c>
      <c r="D9" s="22"/>
      <c r="E9" s="23" t="s">
        <v>92</v>
      </c>
      <c r="F9" s="22"/>
      <c r="G9" s="33" t="s">
        <v>9</v>
      </c>
      <c r="H9" s="22"/>
      <c r="I9" s="33" t="s">
        <v>31</v>
      </c>
      <c r="J9" s="22"/>
      <c r="K9" s="33" t="s">
        <v>40</v>
      </c>
      <c r="L9" s="22"/>
      <c r="M9" s="33" t="s">
        <v>40</v>
      </c>
      <c r="N9" s="22"/>
    </row>
    <row r="10" spans="1:14" ht="14.1">
      <c r="A10" s="21"/>
      <c r="B10" s="22"/>
      <c r="C10" s="27" t="s">
        <v>15</v>
      </c>
      <c r="D10" s="22"/>
      <c r="E10" s="21" t="s">
        <v>15</v>
      </c>
      <c r="F10" s="22"/>
      <c r="G10" s="27" t="s">
        <v>15</v>
      </c>
      <c r="H10" s="22"/>
      <c r="I10" s="27" t="s">
        <v>24</v>
      </c>
      <c r="J10" s="22"/>
      <c r="K10" s="27" t="s">
        <v>24</v>
      </c>
      <c r="L10" s="22"/>
      <c r="M10" s="27" t="s">
        <v>24</v>
      </c>
      <c r="N10" s="22"/>
    </row>
    <row r="11" spans="1:14" ht="14.1">
      <c r="A11" s="59"/>
      <c r="B11" s="22"/>
      <c r="C11" s="60" t="s">
        <v>13</v>
      </c>
      <c r="D11" s="22"/>
      <c r="E11" s="60" t="s">
        <v>13</v>
      </c>
      <c r="F11" s="22"/>
      <c r="G11" s="60" t="s">
        <v>13</v>
      </c>
      <c r="H11" s="22"/>
      <c r="I11" s="60" t="s">
        <v>13</v>
      </c>
      <c r="J11" s="22"/>
      <c r="K11" s="60" t="s">
        <v>13</v>
      </c>
      <c r="L11" s="22"/>
      <c r="M11" s="60" t="s">
        <v>13</v>
      </c>
      <c r="N11" s="22"/>
    </row>
    <row r="12" spans="1:14" ht="19.5" customHeight="1">
      <c r="A12" s="29"/>
      <c r="B12" s="22"/>
      <c r="C12" s="28" t="s">
        <v>341</v>
      </c>
      <c r="D12" s="22"/>
      <c r="E12" s="29" t="s">
        <v>342</v>
      </c>
      <c r="F12" s="22"/>
      <c r="G12" s="28" t="s">
        <v>27</v>
      </c>
      <c r="H12" s="22"/>
      <c r="I12" s="28" t="s">
        <v>343</v>
      </c>
      <c r="J12" s="22"/>
      <c r="K12" s="28" t="s">
        <v>137</v>
      </c>
      <c r="L12" s="22"/>
      <c r="M12" s="28" t="s">
        <v>137</v>
      </c>
      <c r="N12" s="22"/>
    </row>
    <row r="13" spans="1:14" ht="18" customHeight="1">
      <c r="A13" s="30"/>
      <c r="B13" s="22"/>
      <c r="C13" s="32" t="s">
        <v>30</v>
      </c>
      <c r="D13" s="31"/>
      <c r="E13" s="32" t="s">
        <v>30</v>
      </c>
      <c r="F13" s="31"/>
      <c r="G13" s="32" t="s">
        <v>30</v>
      </c>
      <c r="H13" s="31"/>
      <c r="I13" s="32" t="s">
        <v>30</v>
      </c>
      <c r="J13" s="31"/>
      <c r="K13" s="32" t="s">
        <v>30</v>
      </c>
      <c r="L13" s="31"/>
      <c r="M13" s="32" t="s">
        <v>30</v>
      </c>
      <c r="N13" s="31"/>
    </row>
    <row r="14" spans="1:14" ht="18" customHeight="1">
      <c r="A14" s="2">
        <f>M6+1</f>
        <v>44900</v>
      </c>
      <c r="B14" s="3"/>
      <c r="C14" s="2">
        <f>A14+1</f>
        <v>44901</v>
      </c>
      <c r="D14" s="3"/>
      <c r="E14" s="2">
        <f>C14+1</f>
        <v>44902</v>
      </c>
      <c r="F14" s="3"/>
      <c r="G14" s="2">
        <f>E14+1</f>
        <v>44903</v>
      </c>
      <c r="H14" s="3"/>
      <c r="I14" s="2">
        <f>G14+1</f>
        <v>44904</v>
      </c>
      <c r="J14" s="3"/>
      <c r="K14" s="4">
        <f>I14+1</f>
        <v>44905</v>
      </c>
      <c r="L14" s="5"/>
      <c r="M14" s="4">
        <f>K14+1</f>
        <v>44906</v>
      </c>
      <c r="N14" s="5"/>
    </row>
    <row r="15" spans="1:14" ht="14.1">
      <c r="A15" s="26" t="s">
        <v>85</v>
      </c>
      <c r="B15" s="22"/>
      <c r="C15" s="34" t="s">
        <v>24</v>
      </c>
      <c r="D15" s="22"/>
      <c r="E15" s="26" t="s">
        <v>135</v>
      </c>
      <c r="F15" s="22"/>
      <c r="G15" s="34" t="s">
        <v>24</v>
      </c>
      <c r="H15" s="22"/>
      <c r="I15" s="34" t="s">
        <v>31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25" t="s">
        <v>16</v>
      </c>
      <c r="B16" s="22"/>
      <c r="C16" s="25" t="s">
        <v>16</v>
      </c>
      <c r="D16" s="22"/>
      <c r="E16" s="25" t="s">
        <v>16</v>
      </c>
      <c r="F16" s="22"/>
      <c r="G16" s="25" t="s">
        <v>16</v>
      </c>
      <c r="H16" s="22"/>
      <c r="I16" s="25" t="s">
        <v>16</v>
      </c>
      <c r="J16" s="22"/>
      <c r="K16" s="25" t="s">
        <v>16</v>
      </c>
      <c r="L16" s="22"/>
      <c r="M16" s="25" t="s">
        <v>16</v>
      </c>
      <c r="N16" s="22"/>
    </row>
    <row r="17" spans="1:14" ht="14.1">
      <c r="A17" s="23" t="s">
        <v>45</v>
      </c>
      <c r="B17" s="22"/>
      <c r="C17" s="33" t="s">
        <v>9</v>
      </c>
      <c r="D17" s="22"/>
      <c r="E17" s="23" t="s">
        <v>53</v>
      </c>
      <c r="F17" s="22"/>
      <c r="G17" s="33" t="s">
        <v>9</v>
      </c>
      <c r="H17" s="22"/>
      <c r="I17" s="33" t="s">
        <v>75</v>
      </c>
      <c r="J17" s="22"/>
      <c r="K17" s="33" t="s">
        <v>32</v>
      </c>
      <c r="L17" s="22"/>
      <c r="M17" s="33" t="s">
        <v>32</v>
      </c>
      <c r="N17" s="22"/>
    </row>
    <row r="18" spans="1:14" ht="14.1">
      <c r="A18" s="21" t="s">
        <v>24</v>
      </c>
      <c r="B18" s="22"/>
      <c r="C18" s="21" t="s">
        <v>24</v>
      </c>
      <c r="D18" s="22"/>
      <c r="E18" s="21" t="s">
        <v>24</v>
      </c>
      <c r="F18" s="22"/>
      <c r="G18" s="21" t="s">
        <v>24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26</v>
      </c>
      <c r="B20" s="22"/>
      <c r="C20" s="28" t="s">
        <v>26</v>
      </c>
      <c r="D20" s="22"/>
      <c r="E20" s="28" t="s">
        <v>28</v>
      </c>
      <c r="F20" s="22"/>
      <c r="G20" s="28" t="s">
        <v>27</v>
      </c>
      <c r="H20" s="22"/>
      <c r="I20" s="28" t="s">
        <v>26</v>
      </c>
      <c r="J20" s="22"/>
      <c r="K20" s="28" t="s">
        <v>26</v>
      </c>
      <c r="L20" s="22"/>
      <c r="M20" s="28" t="s">
        <v>26</v>
      </c>
      <c r="N20" s="22"/>
    </row>
    <row r="21" spans="1:14" ht="18" customHeight="1">
      <c r="A21" s="30" t="s">
        <v>63</v>
      </c>
      <c r="B21" s="22"/>
      <c r="C21" s="32" t="s">
        <v>63</v>
      </c>
      <c r="D21" s="31"/>
      <c r="E21" s="30" t="s">
        <v>50</v>
      </c>
      <c r="F21" s="22"/>
      <c r="G21" s="32" t="s">
        <v>50</v>
      </c>
      <c r="H21" s="31"/>
      <c r="I21" s="32" t="s">
        <v>63</v>
      </c>
      <c r="J21" s="31"/>
      <c r="K21" s="32" t="s">
        <v>20</v>
      </c>
      <c r="L21" s="31"/>
      <c r="M21" s="32" t="s">
        <v>20</v>
      </c>
      <c r="N21" s="31"/>
    </row>
    <row r="22" spans="1:14" ht="18" customHeight="1">
      <c r="A22" s="2">
        <f>M14+1</f>
        <v>44907</v>
      </c>
      <c r="B22" s="3"/>
      <c r="C22" s="2">
        <f>A22+1</f>
        <v>44908</v>
      </c>
      <c r="D22" s="3"/>
      <c r="E22" s="2">
        <f>C22+1</f>
        <v>44909</v>
      </c>
      <c r="F22" s="3"/>
      <c r="G22" s="2">
        <f>E22+1</f>
        <v>44910</v>
      </c>
      <c r="H22" s="3"/>
      <c r="I22" s="2">
        <f>G22+1</f>
        <v>44911</v>
      </c>
      <c r="J22" s="3"/>
      <c r="K22" s="4">
        <f>I22+1</f>
        <v>44912</v>
      </c>
      <c r="L22" s="5"/>
      <c r="M22" s="4">
        <f>K22+1</f>
        <v>44913</v>
      </c>
      <c r="N22" s="5"/>
    </row>
    <row r="23" spans="1:14" ht="14.1">
      <c r="A23" s="26" t="s">
        <v>92</v>
      </c>
      <c r="B23" s="22"/>
      <c r="C23" s="34" t="s">
        <v>9</v>
      </c>
      <c r="D23" s="22"/>
      <c r="E23" s="26" t="s">
        <v>53</v>
      </c>
      <c r="F23" s="22"/>
      <c r="G23" s="34" t="s">
        <v>9</v>
      </c>
      <c r="H23" s="22"/>
      <c r="I23" s="34" t="s">
        <v>49</v>
      </c>
      <c r="J23" s="22"/>
      <c r="K23" s="34" t="s">
        <v>50</v>
      </c>
      <c r="L23" s="22"/>
      <c r="M23" s="34" t="s">
        <v>50</v>
      </c>
      <c r="N23" s="22"/>
    </row>
    <row r="24" spans="1:14" ht="14.1">
      <c r="A24" s="25" t="s">
        <v>38</v>
      </c>
      <c r="B24" s="22"/>
      <c r="C24" s="25" t="s">
        <v>38</v>
      </c>
      <c r="D24" s="22"/>
      <c r="E24" s="25" t="s">
        <v>38</v>
      </c>
      <c r="F24" s="22"/>
      <c r="G24" s="25" t="s">
        <v>38</v>
      </c>
      <c r="H24" s="22"/>
      <c r="I24" s="25" t="s">
        <v>38</v>
      </c>
      <c r="J24" s="22"/>
      <c r="K24" s="25" t="s">
        <v>38</v>
      </c>
      <c r="L24" s="22"/>
      <c r="M24" s="25" t="s">
        <v>38</v>
      </c>
      <c r="N24" s="22"/>
    </row>
    <row r="25" spans="1:14" ht="14.1">
      <c r="A25" s="23" t="s">
        <v>11</v>
      </c>
      <c r="B25" s="22"/>
      <c r="C25" s="33" t="s">
        <v>11</v>
      </c>
      <c r="D25" s="22"/>
      <c r="E25" s="23" t="s">
        <v>10</v>
      </c>
      <c r="F25" s="22"/>
      <c r="G25" s="33" t="s">
        <v>11</v>
      </c>
      <c r="H25" s="22"/>
      <c r="I25" s="33" t="s">
        <v>82</v>
      </c>
      <c r="J25" s="22"/>
      <c r="K25" s="33" t="s">
        <v>88</v>
      </c>
      <c r="L25" s="22"/>
      <c r="M25" s="33" t="s">
        <v>88</v>
      </c>
      <c r="N25" s="22"/>
    </row>
    <row r="26" spans="1:14" ht="14.1">
      <c r="A26" s="21" t="s">
        <v>24</v>
      </c>
      <c r="B26" s="22"/>
      <c r="C26" s="21" t="s">
        <v>24</v>
      </c>
      <c r="D26" s="22"/>
      <c r="E26" s="21" t="s">
        <v>24</v>
      </c>
      <c r="F26" s="22"/>
      <c r="G26" s="27" t="s">
        <v>15</v>
      </c>
      <c r="H26" s="22"/>
      <c r="I26" s="27" t="s">
        <v>15</v>
      </c>
      <c r="J26" s="22"/>
      <c r="K26" s="27" t="s">
        <v>15</v>
      </c>
      <c r="L26" s="22"/>
      <c r="M26" s="27" t="s">
        <v>15</v>
      </c>
      <c r="N26" s="22"/>
    </row>
    <row r="27" spans="1:14" ht="14.1">
      <c r="A27" s="59" t="s">
        <v>43</v>
      </c>
      <c r="B27" s="22"/>
      <c r="C27" s="59" t="s">
        <v>43</v>
      </c>
      <c r="D27" s="22"/>
      <c r="E27" s="59" t="s">
        <v>43</v>
      </c>
      <c r="F27" s="22"/>
      <c r="G27" s="59" t="s">
        <v>43</v>
      </c>
      <c r="H27" s="22"/>
      <c r="I27" s="59" t="s">
        <v>43</v>
      </c>
      <c r="J27" s="22"/>
      <c r="K27" s="59" t="s">
        <v>43</v>
      </c>
      <c r="L27" s="22"/>
      <c r="M27" s="59" t="s">
        <v>43</v>
      </c>
      <c r="N27" s="22"/>
    </row>
    <row r="28" spans="1:14" ht="14.1">
      <c r="A28" s="29" t="s">
        <v>27</v>
      </c>
      <c r="B28" s="22"/>
      <c r="C28" s="28" t="s">
        <v>27</v>
      </c>
      <c r="D28" s="22"/>
      <c r="E28" s="29" t="s">
        <v>28</v>
      </c>
      <c r="F28" s="22"/>
      <c r="G28" s="28" t="s">
        <v>33</v>
      </c>
      <c r="H28" s="22"/>
      <c r="I28" s="28" t="s">
        <v>28</v>
      </c>
      <c r="J28" s="22"/>
      <c r="K28" s="28" t="s">
        <v>138</v>
      </c>
      <c r="L28" s="22"/>
      <c r="M28" s="28" t="s">
        <v>138</v>
      </c>
      <c r="N28" s="22"/>
    </row>
    <row r="29" spans="1:14" ht="18" customHeight="1">
      <c r="A29" s="30" t="s">
        <v>50</v>
      </c>
      <c r="B29" s="22"/>
      <c r="C29" s="32" t="s">
        <v>50</v>
      </c>
      <c r="D29" s="31"/>
      <c r="E29" s="30" t="s">
        <v>50</v>
      </c>
      <c r="F29" s="22"/>
      <c r="G29" s="32" t="s">
        <v>50</v>
      </c>
      <c r="H29" s="31"/>
      <c r="I29" s="32" t="s">
        <v>30</v>
      </c>
      <c r="J29" s="31"/>
      <c r="K29" s="32" t="s">
        <v>30</v>
      </c>
      <c r="L29" s="31"/>
      <c r="M29" s="32" t="s">
        <v>30</v>
      </c>
      <c r="N29" s="31"/>
    </row>
    <row r="30" spans="1:14" ht="18" customHeight="1">
      <c r="A30" s="2">
        <f>M22+1</f>
        <v>44914</v>
      </c>
      <c r="B30" s="3"/>
      <c r="C30" s="2">
        <f>A30+1</f>
        <v>44915</v>
      </c>
      <c r="D30" s="3"/>
      <c r="E30" s="2">
        <f>C30+1</f>
        <v>44916</v>
      </c>
      <c r="F30" s="3"/>
      <c r="G30" s="2">
        <f>E30+1</f>
        <v>44917</v>
      </c>
      <c r="H30" s="3"/>
      <c r="I30" s="2">
        <f>G30+1</f>
        <v>44918</v>
      </c>
      <c r="J30" s="3"/>
      <c r="K30" s="4">
        <f>I30+1</f>
        <v>44919</v>
      </c>
      <c r="L30" s="5"/>
      <c r="M30" s="4">
        <f>K30+1</f>
        <v>44920</v>
      </c>
      <c r="N30" s="5"/>
    </row>
    <row r="31" spans="1:14" ht="14.1">
      <c r="A31" s="26" t="s">
        <v>52</v>
      </c>
      <c r="B31" s="22"/>
      <c r="C31" s="34" t="s">
        <v>50</v>
      </c>
      <c r="D31" s="22"/>
      <c r="E31" s="34" t="s">
        <v>50</v>
      </c>
      <c r="F31" s="22"/>
      <c r="G31" s="34" t="s">
        <v>50</v>
      </c>
      <c r="H31" s="22"/>
      <c r="I31" s="34" t="s">
        <v>11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25" t="s">
        <v>51</v>
      </c>
      <c r="B32" s="22"/>
      <c r="C32" s="25" t="s">
        <v>51</v>
      </c>
      <c r="D32" s="22"/>
      <c r="E32" s="25" t="s">
        <v>51</v>
      </c>
      <c r="F32" s="22"/>
      <c r="G32" s="25" t="s">
        <v>51</v>
      </c>
      <c r="H32" s="22"/>
      <c r="I32" s="25" t="s">
        <v>51</v>
      </c>
      <c r="J32" s="22"/>
      <c r="K32" s="25" t="s">
        <v>51</v>
      </c>
      <c r="L32" s="22"/>
      <c r="M32" s="25" t="s">
        <v>51</v>
      </c>
      <c r="N32" s="22"/>
    </row>
    <row r="33" spans="1:14" ht="14.1">
      <c r="A33" s="23" t="s">
        <v>39</v>
      </c>
      <c r="B33" s="22"/>
      <c r="C33" s="33" t="s">
        <v>11</v>
      </c>
      <c r="D33" s="22"/>
      <c r="E33" s="23" t="s">
        <v>10</v>
      </c>
      <c r="F33" s="22"/>
      <c r="G33" s="33" t="s">
        <v>10</v>
      </c>
      <c r="H33" s="22"/>
      <c r="I33" s="33" t="s">
        <v>13</v>
      </c>
      <c r="J33" s="22"/>
      <c r="K33" s="33" t="s">
        <v>14</v>
      </c>
      <c r="L33" s="22"/>
      <c r="M33" s="33" t="s">
        <v>13</v>
      </c>
      <c r="N33" s="22"/>
    </row>
    <row r="34" spans="1:14" ht="14.1">
      <c r="A34" s="21" t="s">
        <v>15</v>
      </c>
      <c r="B34" s="22"/>
      <c r="C34" s="21" t="s">
        <v>15</v>
      </c>
      <c r="D34" s="22"/>
      <c r="E34" s="21" t="s">
        <v>15</v>
      </c>
      <c r="F34" s="22"/>
      <c r="G34" s="21" t="s">
        <v>15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13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28</v>
      </c>
      <c r="B36" s="22"/>
      <c r="C36" s="29" t="s">
        <v>17</v>
      </c>
      <c r="D36" s="22"/>
      <c r="E36" s="29" t="s">
        <v>28</v>
      </c>
      <c r="F36" s="22"/>
      <c r="G36" s="29" t="s">
        <v>17</v>
      </c>
      <c r="H36" s="22"/>
      <c r="I36" s="28" t="s">
        <v>26</v>
      </c>
      <c r="J36" s="22"/>
      <c r="K36" s="28" t="s">
        <v>17</v>
      </c>
      <c r="L36" s="22"/>
      <c r="M36" s="28" t="s">
        <v>17</v>
      </c>
      <c r="N36" s="22"/>
    </row>
    <row r="37" spans="1:14" ht="18" customHeight="1">
      <c r="A37" s="30" t="s">
        <v>77</v>
      </c>
      <c r="B37" s="22"/>
      <c r="C37" s="32" t="s">
        <v>29</v>
      </c>
      <c r="D37" s="31"/>
      <c r="E37" s="30" t="s">
        <v>30</v>
      </c>
      <c r="F37" s="22"/>
      <c r="G37" s="32" t="s">
        <v>29</v>
      </c>
      <c r="H37" s="31"/>
      <c r="I37" s="32" t="s">
        <v>29</v>
      </c>
      <c r="J37" s="31"/>
      <c r="K37" s="32" t="s">
        <v>146</v>
      </c>
      <c r="L37" s="31"/>
      <c r="M37" s="32" t="s">
        <v>146</v>
      </c>
      <c r="N37" s="31"/>
    </row>
    <row r="38" spans="1:14" ht="18" customHeight="1">
      <c r="A38" s="2">
        <f>IF(M30="","",IF(MONTH(M30+1)&lt;&gt;MONTH($A$1),"",M30+1))</f>
        <v>44921</v>
      </c>
      <c r="B38" s="3"/>
      <c r="C38" s="2">
        <f>IF(A38="","",IF(MONTH(A38+1)&lt;&gt;MONTH($A$1),"",A38+1))</f>
        <v>44922</v>
      </c>
      <c r="D38" s="3"/>
      <c r="E38" s="2">
        <f>IF(C38="","",IF(MONTH(C38+1)&lt;&gt;MONTH($A$1),"",C38+1))</f>
        <v>44923</v>
      </c>
      <c r="F38" s="3"/>
      <c r="G38" s="2">
        <f>IF(E38="","",IF(MONTH(E38+1)&lt;&gt;MONTH($A$1),"",E38+1))</f>
        <v>44924</v>
      </c>
      <c r="H38" s="3"/>
      <c r="I38" s="2">
        <f>IF(G38="","",IF(MONTH(G38+1)&lt;&gt;MONTH($A$1),"",G38+1))</f>
        <v>44925</v>
      </c>
      <c r="J38" s="3"/>
      <c r="K38" s="4">
        <f>IF(I38="","",IF(MONTH(I38+1)&lt;&gt;MONTH($A$1),"",I38+1))</f>
        <v>44926</v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9</v>
      </c>
      <c r="B39" s="22"/>
      <c r="C39" s="26" t="s">
        <v>9</v>
      </c>
      <c r="D39" s="22"/>
      <c r="E39" s="26" t="s">
        <v>9</v>
      </c>
      <c r="F39" s="22"/>
      <c r="G39" s="34" t="s">
        <v>24</v>
      </c>
      <c r="H39" s="22"/>
      <c r="I39" s="34"/>
      <c r="J39" s="22"/>
      <c r="K39" s="34"/>
      <c r="L39" s="22"/>
      <c r="M39" s="34"/>
      <c r="N39" s="22"/>
    </row>
    <row r="40" spans="1:14" ht="14.1">
      <c r="A40" s="25" t="s">
        <v>42</v>
      </c>
      <c r="B40" s="22"/>
      <c r="C40" s="25" t="s">
        <v>42</v>
      </c>
      <c r="D40" s="22"/>
      <c r="E40" s="25" t="s">
        <v>42</v>
      </c>
      <c r="F40" s="22"/>
      <c r="G40" s="25" t="s">
        <v>42</v>
      </c>
      <c r="H40" s="22"/>
      <c r="I40" s="24"/>
      <c r="J40" s="22"/>
      <c r="K40" s="24"/>
      <c r="L40" s="22"/>
      <c r="M40" s="24"/>
      <c r="N40" s="22"/>
    </row>
    <row r="41" spans="1:14" ht="14.1">
      <c r="A41" s="23" t="s">
        <v>55</v>
      </c>
      <c r="B41" s="22"/>
      <c r="C41" s="33" t="s">
        <v>13</v>
      </c>
      <c r="D41" s="22"/>
      <c r="E41" s="23" t="s">
        <v>55</v>
      </c>
      <c r="F41" s="22"/>
      <c r="G41" s="33" t="s">
        <v>13</v>
      </c>
      <c r="H41" s="22"/>
      <c r="I41" s="33"/>
      <c r="J41" s="22"/>
      <c r="K41" s="33"/>
      <c r="L41" s="22"/>
      <c r="M41" s="33"/>
      <c r="N41" s="22"/>
    </row>
    <row r="42" spans="1:14" ht="14.1">
      <c r="A42" s="21" t="s">
        <v>15</v>
      </c>
      <c r="B42" s="22"/>
      <c r="C42" s="21" t="s">
        <v>15</v>
      </c>
      <c r="D42" s="22"/>
      <c r="E42" s="21" t="s">
        <v>15</v>
      </c>
      <c r="F42" s="22"/>
      <c r="G42" s="27" t="s">
        <v>24</v>
      </c>
      <c r="H42" s="22"/>
      <c r="I42" s="27"/>
      <c r="J42" s="22"/>
      <c r="K42" s="27"/>
      <c r="L42" s="22"/>
      <c r="M42" s="27"/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60"/>
      <c r="J43" s="22"/>
      <c r="K43" s="60"/>
      <c r="L43" s="22"/>
      <c r="M43" s="60"/>
      <c r="N43" s="22"/>
    </row>
    <row r="44" spans="1:14" ht="14.1">
      <c r="A44" s="29" t="s">
        <v>26</v>
      </c>
      <c r="B44" s="22"/>
      <c r="C44" s="28" t="s">
        <v>27</v>
      </c>
      <c r="D44" s="22"/>
      <c r="E44" s="29" t="s">
        <v>28</v>
      </c>
      <c r="F44" s="22"/>
      <c r="G44" s="28" t="s">
        <v>27</v>
      </c>
      <c r="H44" s="22"/>
      <c r="I44" s="28"/>
      <c r="J44" s="22"/>
      <c r="K44" s="28"/>
      <c r="L44" s="22"/>
      <c r="M44" s="28"/>
      <c r="N44" s="22"/>
    </row>
    <row r="45" spans="1:14" ht="18" customHeight="1">
      <c r="A45" s="30" t="s">
        <v>63</v>
      </c>
      <c r="B45" s="22"/>
      <c r="C45" s="32" t="s">
        <v>50</v>
      </c>
      <c r="D45" s="31"/>
      <c r="E45" s="32" t="s">
        <v>50</v>
      </c>
      <c r="F45" s="31"/>
      <c r="G45" s="32" t="s">
        <v>50</v>
      </c>
      <c r="H45" s="31"/>
      <c r="I45" s="32"/>
      <c r="J45" s="31"/>
      <c r="K45" s="32"/>
      <c r="L45" s="31"/>
      <c r="M45" s="32"/>
      <c r="N45" s="3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4" t="s">
        <v>22</v>
      </c>
      <c r="F46" s="41"/>
      <c r="G46" s="40"/>
      <c r="H46" s="41"/>
      <c r="I46" s="41"/>
      <c r="J46" s="41"/>
      <c r="K46" s="41"/>
      <c r="L46" s="41"/>
      <c r="M46" s="41"/>
      <c r="N46" s="42"/>
    </row>
    <row r="47" spans="1:14" ht="14.1">
      <c r="A47" s="26"/>
      <c r="B47" s="22"/>
      <c r="C47" s="34"/>
      <c r="D47" s="22"/>
      <c r="E47" s="35"/>
      <c r="F47" s="36"/>
      <c r="G47" s="36"/>
      <c r="H47" s="36"/>
      <c r="I47" s="36"/>
      <c r="J47" s="36"/>
      <c r="K47" s="36"/>
      <c r="L47" s="36"/>
      <c r="M47" s="36"/>
      <c r="N47" s="22"/>
    </row>
    <row r="48" spans="1:14" ht="14.1">
      <c r="A48" s="25"/>
      <c r="B48" s="22"/>
      <c r="C48" s="24"/>
      <c r="D48" s="22"/>
      <c r="E48" s="35"/>
      <c r="F48" s="36"/>
      <c r="G48" s="36"/>
      <c r="H48" s="36"/>
      <c r="I48" s="36"/>
      <c r="J48" s="36"/>
      <c r="K48" s="36"/>
      <c r="L48" s="36"/>
      <c r="M48" s="36"/>
      <c r="N48" s="22"/>
    </row>
    <row r="49" spans="1:14" ht="14.1">
      <c r="A49" s="23"/>
      <c r="B49" s="22"/>
      <c r="C49" s="33"/>
      <c r="D49" s="22"/>
      <c r="E49" s="35"/>
      <c r="F49" s="36"/>
      <c r="G49" s="36"/>
      <c r="H49" s="36"/>
      <c r="I49" s="36"/>
      <c r="J49" s="36"/>
      <c r="K49" s="36"/>
      <c r="L49" s="36"/>
      <c r="M49" s="36"/>
      <c r="N49" s="22"/>
    </row>
    <row r="50" spans="1:14" ht="14.1">
      <c r="A50" s="21"/>
      <c r="B50" s="22"/>
      <c r="C50" s="2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28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0"/>
      <c r="B53" s="22"/>
      <c r="C53" s="32"/>
      <c r="D53" s="31"/>
      <c r="E53" s="39" t="s">
        <v>23</v>
      </c>
      <c r="F53" s="38"/>
      <c r="G53" s="38"/>
      <c r="H53" s="38"/>
      <c r="I53" s="37" t="str">
        <f>HYPERLINK("https://www.vertex42.com/calendars/academic-calendar.html","https://www.vertex42.com/calendars/academic-calendar.html")</f>
        <v>https://www.vertex42.com/calendars/academic-calendar.html</v>
      </c>
      <c r="J53" s="38"/>
      <c r="K53" s="38"/>
      <c r="L53" s="38"/>
      <c r="M53" s="38"/>
      <c r="N53" s="31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B832EB-D7B6-4F68-AE45-620DF6EB6DD7}"/>
</file>

<file path=customXml/itemProps2.xml><?xml version="1.0" encoding="utf-8"?>
<ds:datastoreItem xmlns:ds="http://schemas.openxmlformats.org/officeDocument/2006/customXml" ds:itemID="{E0ED37F0-2C08-436C-920B-1A16266AF4CF}"/>
</file>

<file path=customXml/itemProps3.xml><?xml version="1.0" encoding="utf-8"?>
<ds:datastoreItem xmlns:ds="http://schemas.openxmlformats.org/officeDocument/2006/customXml" ds:itemID="{86288A54-A7EA-4046-B061-9253EE3D3F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2026-05-12T17:15:56Z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